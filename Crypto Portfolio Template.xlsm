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rutarth\Desktop\Navkar\"/>
    </mc:Choice>
  </mc:AlternateContent>
  <xr:revisionPtr revIDLastSave="0" documentId="13_ncr:1_{0C6DF605-F778-45E5-967C-56264EB359D0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Dashboard" sheetId="1" r:id="rId1"/>
    <sheet name="Passbook" sheetId="5" r:id="rId2"/>
    <sheet name="CoinMarketCap" sheetId="9" r:id="rId3"/>
    <sheet name="Currency" sheetId="4" r:id="rId4"/>
    <sheet name="CoinGecko" sheetId="8" state="hidden" r:id="rId5"/>
    <sheet name="ATHCoinIndex" sheetId="2" state="hidden" r:id="rId6"/>
  </sheets>
  <definedNames>
    <definedName name="ExternalData_1" localSheetId="5" hidden="1">ATHCoinIndex!$A$1:$I$101</definedName>
    <definedName name="ExternalData_1" localSheetId="2" hidden="1">'CoinMarketCap'!$A$1:$C$101</definedName>
    <definedName name="ExternalData_1" localSheetId="3" hidden="1">'Currency'!$A$1:$F$150</definedName>
    <definedName name="ExternalData_2" localSheetId="4" hidden="1">'CoinGecko'!$A$1:$I$101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5" l="1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C7" i="1" l="1"/>
  <c r="D7" i="1" s="1"/>
  <c r="C8" i="1"/>
  <c r="D8" i="1" s="1"/>
  <c r="C9" i="1"/>
  <c r="D9" i="1" s="1"/>
  <c r="C10" i="1"/>
  <c r="D10" i="1" s="1"/>
  <c r="C11" i="1"/>
  <c r="D11" i="1" s="1"/>
  <c r="C12" i="1"/>
  <c r="D12" i="1" s="1"/>
  <c r="C13" i="1"/>
  <c r="D13" i="1" s="1"/>
  <c r="C14" i="1"/>
  <c r="D14" i="1" s="1"/>
  <c r="C6" i="1"/>
  <c r="D6" i="1" s="1"/>
  <c r="F7" i="1"/>
  <c r="F8" i="1"/>
  <c r="F9" i="1"/>
  <c r="F10" i="1"/>
  <c r="F11" i="1"/>
  <c r="F12" i="1"/>
  <c r="F13" i="1"/>
  <c r="F14" i="1"/>
  <c r="F6" i="1"/>
  <c r="H14" i="1" l="1"/>
  <c r="H11" i="1"/>
  <c r="E10" i="1"/>
  <c r="G10" i="1" s="1"/>
  <c r="H13" i="1"/>
  <c r="H12" i="1"/>
  <c r="H10" i="1"/>
  <c r="E13" i="1"/>
  <c r="G13" i="1" s="1"/>
  <c r="H9" i="1"/>
  <c r="E12" i="1"/>
  <c r="G12" i="1" s="1"/>
  <c r="H7" i="1"/>
  <c r="H8" i="1"/>
  <c r="H6" i="1"/>
  <c r="F66" i="5"/>
  <c r="E7" i="1" s="1"/>
  <c r="G7" i="1" s="1"/>
  <c r="M20" i="1" l="1"/>
  <c r="E11" i="1"/>
  <c r="I10" i="1"/>
  <c r="J10" i="1"/>
  <c r="J13" i="1"/>
  <c r="J12" i="1"/>
  <c r="E14" i="1"/>
  <c r="E6" i="1"/>
  <c r="I7" i="1"/>
  <c r="I12" i="1"/>
  <c r="E8" i="1"/>
  <c r="I13" i="1"/>
  <c r="E9" i="1"/>
  <c r="J7" i="1"/>
  <c r="G6" i="1" l="1"/>
  <c r="M19" i="1"/>
  <c r="J6" i="1"/>
  <c r="I6" i="1"/>
  <c r="G8" i="1"/>
  <c r="J8" i="1"/>
  <c r="G14" i="1"/>
  <c r="I14" i="1"/>
  <c r="J14" i="1"/>
  <c r="G9" i="1"/>
  <c r="I9" i="1"/>
  <c r="J9" i="1"/>
  <c r="G11" i="1"/>
  <c r="I11" i="1"/>
  <c r="J11" i="1"/>
  <c r="I8" i="1"/>
  <c r="M22" i="1" l="1"/>
  <c r="M2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E56CB4F-CE4C-4D15-AA44-4DF93241ADD0}" keepAlive="1" name="Query - ATHCoinIndex" description="Connection to the 'ATHCoinIndex' query in the workbook." type="5" refreshedVersion="7" background="1" saveData="1">
    <dbPr connection="Provider=Microsoft.Mashup.OleDb.1;Data Source=$Workbook$;Location=ATHCoinIndex;Extended Properties=&quot;&quot;" command="SELECT * FROM [ATHCoinIndex]"/>
  </connection>
  <connection id="2" xr16:uid="{584A95E9-4E44-4D82-AD46-DFD6F86128BB}" keepAlive="1" name="Query - CoinGecko" description="Connection to the 'CoinGecko' query in the workbook." type="5" refreshedVersion="7" background="1" saveData="1">
    <dbPr connection="Provider=Microsoft.Mashup.OleDb.1;Data Source=$Workbook$;Location=CoinGecko;Extended Properties=&quot;&quot;" command="SELECT * FROM [CoinGecko]"/>
  </connection>
  <connection id="3" xr16:uid="{40BF5FAB-5FED-46AC-AF56-9622AED483B6}" keepAlive="1" name="Query - CoinMarketCap" description="Connection to the 'CoinMarketCap' query in the workbook." type="5" refreshedVersion="7" background="1" saveData="1">
    <dbPr connection="Provider=Microsoft.Mashup.OleDb.1;Data Source=$Workbook$;Location=CoinMarketCap;Extended Properties=&quot;&quot;" command="SELECT * FROM [CoinMarketCap]"/>
  </connection>
  <connection id="4" xr16:uid="{4544FA94-EBF4-4D8F-BCEA-C3FD1D22AB3F}" keepAlive="1" name="Query - Currency" description="Connection to the 'Currency' query in the workbook." type="5" refreshedVersion="7" background="1" saveData="1">
    <dbPr connection="Provider=Microsoft.Mashup.OleDb.1;Data Source=$Workbook$;Location=Currency;Extended Properties=&quot;&quot;" command="SELECT * FROM [Currency]"/>
  </connection>
</connections>
</file>

<file path=xl/sharedStrings.xml><?xml version="1.0" encoding="utf-8"?>
<sst xmlns="http://schemas.openxmlformats.org/spreadsheetml/2006/main" count="1468" uniqueCount="975">
  <si>
    <t>#</t>
  </si>
  <si>
    <t>Crypto Name</t>
  </si>
  <si>
    <t>Ticker Name</t>
  </si>
  <si>
    <t>Price</t>
  </si>
  <si>
    <t>ATH</t>
  </si>
  <si>
    <t>24H Change 24H CHG</t>
  </si>
  <si>
    <t>2</t>
  </si>
  <si>
    <t>From ATH Fr. ATH</t>
  </si>
  <si>
    <t>To ATH</t>
  </si>
  <si>
    <t>_x000D_
Bitcoin</t>
  </si>
  <si>
    <t>BTC</t>
  </si>
  <si>
    <t/>
  </si>
  <si>
    <t>_x000D_
Ethereum</t>
  </si>
  <si>
    <t>ETH</t>
  </si>
  <si>
    <t>_x000D_
Binance</t>
  </si>
  <si>
    <t>BNB</t>
  </si>
  <si>
    <t>Coin</t>
  </si>
  <si>
    <t>_x000D_
Cardano</t>
  </si>
  <si>
    <t>ADA</t>
  </si>
  <si>
    <t>_x000D_
Dogecoin</t>
  </si>
  <si>
    <t>DOGE</t>
  </si>
  <si>
    <t>_x000D_
XRP</t>
  </si>
  <si>
    <t>XRP</t>
  </si>
  <si>
    <t>_x000D_
Tether</t>
  </si>
  <si>
    <t>USDT</t>
  </si>
  <si>
    <t>_x000D_
Polkadot</t>
  </si>
  <si>
    <t>DOT</t>
  </si>
  <si>
    <t>BCH</t>
  </si>
  <si>
    <t>_x000D_
Litecoin</t>
  </si>
  <si>
    <t>LTC</t>
  </si>
  <si>
    <t>_x000D_
Uniswap</t>
  </si>
  <si>
    <t>UNI</t>
  </si>
  <si>
    <t>_x000D_
Chainlink</t>
  </si>
  <si>
    <t>LINK</t>
  </si>
  <si>
    <t>_x000D_
USD</t>
  </si>
  <si>
    <t>USDC</t>
  </si>
  <si>
    <t>_x000D_
Stellar</t>
  </si>
  <si>
    <t>XLM</t>
  </si>
  <si>
    <t>ETC</t>
  </si>
  <si>
    <t>_x000D_
VeChain</t>
  </si>
  <si>
    <t>VET</t>
  </si>
  <si>
    <t>_x000D_
Solana</t>
  </si>
  <si>
    <t>SOL</t>
  </si>
  <si>
    <t>_x000D_
Polygon</t>
  </si>
  <si>
    <t>MATIC</t>
  </si>
  <si>
    <t>_x000D_
EOS</t>
  </si>
  <si>
    <t>EOS</t>
  </si>
  <si>
    <t>_x000D_
Theta</t>
  </si>
  <si>
    <t>THETA</t>
  </si>
  <si>
    <t>_x000D_
OKB</t>
  </si>
  <si>
    <t>OKB</t>
  </si>
  <si>
    <t>_x000D_
Shiba</t>
  </si>
  <si>
    <t>SHIB</t>
  </si>
  <si>
    <t>_x000D_
TRON</t>
  </si>
  <si>
    <t>TRX</t>
  </si>
  <si>
    <t>_x000D_
Wrapped</t>
  </si>
  <si>
    <t>WBTC</t>
  </si>
  <si>
    <t>_x000D_
Filecoin</t>
  </si>
  <si>
    <t>FIL</t>
  </si>
  <si>
    <t>BUSD</t>
  </si>
  <si>
    <t>_x000D_
Monero</t>
  </si>
  <si>
    <t>XMR</t>
  </si>
  <si>
    <t>_x000D_
Aave</t>
  </si>
  <si>
    <t>AAVE</t>
  </si>
  <si>
    <t>_x000D_
NEO</t>
  </si>
  <si>
    <t>NEO</t>
  </si>
  <si>
    <t>_x000D_
Cosmos</t>
  </si>
  <si>
    <t>ATOM</t>
  </si>
  <si>
    <t>BSV</t>
  </si>
  <si>
    <t>_x000D_
cETH</t>
  </si>
  <si>
    <t>CETH</t>
  </si>
  <si>
    <t>_x000D_
Terra</t>
  </si>
  <si>
    <t>LUNA</t>
  </si>
  <si>
    <t>_x000D_
Klaytn</t>
  </si>
  <si>
    <t>KLAY</t>
  </si>
  <si>
    <t>_x000D_
Huobi</t>
  </si>
  <si>
    <t>HT</t>
  </si>
  <si>
    <t>_x000D_
IOTA</t>
  </si>
  <si>
    <t>MIOTA</t>
  </si>
  <si>
    <t>_x000D_
Kusama</t>
  </si>
  <si>
    <t>KSM</t>
  </si>
  <si>
    <t>_x000D_
SafeMoon</t>
  </si>
  <si>
    <t>SAFEMOON</t>
  </si>
  <si>
    <t>_x000D_
Tezos</t>
  </si>
  <si>
    <t>XTZ</t>
  </si>
  <si>
    <t>_x000D_
PancakeSwap</t>
  </si>
  <si>
    <t>CAKE</t>
  </si>
  <si>
    <t>_x000D_
FTX</t>
  </si>
  <si>
    <t>FTT</t>
  </si>
  <si>
    <t>_x000D_
Avalanche</t>
  </si>
  <si>
    <t>AVAX</t>
  </si>
  <si>
    <t>_x000D_
Dai</t>
  </si>
  <si>
    <t>DAI</t>
  </si>
  <si>
    <t>_x000D_
Maker</t>
  </si>
  <si>
    <t>MKR</t>
  </si>
  <si>
    <t>_x000D_
THORChain</t>
  </si>
  <si>
    <t>RUNE</t>
  </si>
  <si>
    <t>_x000D_
Algorand</t>
  </si>
  <si>
    <t>ALGO</t>
  </si>
  <si>
    <t>_x000D_
cDAI</t>
  </si>
  <si>
    <t>CDAI</t>
  </si>
  <si>
    <t>_x000D_
Crypto.com</t>
  </si>
  <si>
    <t>CRO</t>
  </si>
  <si>
    <t>_x000D_
cUSDC</t>
  </si>
  <si>
    <t>CUSDC</t>
  </si>
  <si>
    <t>_x000D_
BitTorrent</t>
  </si>
  <si>
    <t>BTT</t>
  </si>
  <si>
    <t>_x000D_
Compound</t>
  </si>
  <si>
    <t>COMP</t>
  </si>
  <si>
    <t>_x000D_
Dash</t>
  </si>
  <si>
    <t>DASH</t>
  </si>
  <si>
    <t>_x000D_
Waves</t>
  </si>
  <si>
    <t>WAVES</t>
  </si>
  <si>
    <t>_x000D_
Zcash</t>
  </si>
  <si>
    <t>ZEC</t>
  </si>
  <si>
    <t>_x000D_
Synthetix</t>
  </si>
  <si>
    <t>SNX</t>
  </si>
  <si>
    <t>_x000D_
LEO</t>
  </si>
  <si>
    <t>LEO</t>
  </si>
  <si>
    <t>_x000D_
Sushi</t>
  </si>
  <si>
    <t>SUSHI</t>
  </si>
  <si>
    <t>_x000D_
Elrond</t>
  </si>
  <si>
    <t>EGLD</t>
  </si>
  <si>
    <t>_x000D_
NEM</t>
  </si>
  <si>
    <t>XEM</t>
  </si>
  <si>
    <t>_x000D_
Celsius</t>
  </si>
  <si>
    <t>CEL</t>
  </si>
  <si>
    <t>_x000D_
Chiliz</t>
  </si>
  <si>
    <t>CHZ</t>
  </si>
  <si>
    <t>_x000D_
yearn.finance</t>
  </si>
  <si>
    <t>YFI</t>
  </si>
  <si>
    <t>_x000D_
Hedera</t>
  </si>
  <si>
    <t>HBAR</t>
  </si>
  <si>
    <t>_x000D_
Near</t>
  </si>
  <si>
    <t>NEAR</t>
  </si>
  <si>
    <t>_x000D_
Decred</t>
  </si>
  <si>
    <t>DCR</t>
  </si>
  <si>
    <t>_x000D_
Amp</t>
  </si>
  <si>
    <t>AMP</t>
  </si>
  <si>
    <t>_x000D_
Zilliqa</t>
  </si>
  <si>
    <t>ZIL</t>
  </si>
  <si>
    <t>_x000D_
Telcoin</t>
  </si>
  <si>
    <t>TEL</t>
  </si>
  <si>
    <t>_x000D_
Qtum</t>
  </si>
  <si>
    <t>QTUM</t>
  </si>
  <si>
    <t>_x000D_
Pirate</t>
  </si>
  <si>
    <t>ARRR</t>
  </si>
  <si>
    <t>_x000D_
TerraUSD</t>
  </si>
  <si>
    <t>UST</t>
  </si>
  <si>
    <t>_x000D_
NEXO</t>
  </si>
  <si>
    <t>NEXO</t>
  </si>
  <si>
    <t>_x000D_
Holo</t>
  </si>
  <si>
    <t>HOT</t>
  </si>
  <si>
    <t>_x000D_
Enjin</t>
  </si>
  <si>
    <t>ENJ</t>
  </si>
  <si>
    <t>_x000D_
Basic</t>
  </si>
  <si>
    <t>BAT</t>
  </si>
  <si>
    <t>_x000D_
The</t>
  </si>
  <si>
    <t>GRT</t>
  </si>
  <si>
    <t>_x000D_
Ontology</t>
  </si>
  <si>
    <t>ONT</t>
  </si>
  <si>
    <t>BTG</t>
  </si>
  <si>
    <t>_x000D_
Stacks</t>
  </si>
  <si>
    <t>STX</t>
  </si>
  <si>
    <t>_x000D_
Fantom</t>
  </si>
  <si>
    <t>FTM</t>
  </si>
  <si>
    <t>_x000D_
Decentraland</t>
  </si>
  <si>
    <t>MANA</t>
  </si>
  <si>
    <t>_x000D_
DigiByte</t>
  </si>
  <si>
    <t>DGB</t>
  </si>
  <si>
    <t>_x000D_
UMA</t>
  </si>
  <si>
    <t>UMA</t>
  </si>
  <si>
    <t>_x000D_
Liquity</t>
  </si>
  <si>
    <t>LUSD</t>
  </si>
  <si>
    <t>HBTC</t>
  </si>
  <si>
    <t>_x000D_
Horizen</t>
  </si>
  <si>
    <t>ZEN</t>
  </si>
  <si>
    <t>_x000D_
Nano</t>
  </si>
  <si>
    <t>NANO</t>
  </si>
  <si>
    <t>_x000D_
GateToken</t>
  </si>
  <si>
    <t>GT</t>
  </si>
  <si>
    <t>_x000D_
Siacoin</t>
  </si>
  <si>
    <t>SC</t>
  </si>
  <si>
    <t>_x000D_
Bancor</t>
  </si>
  <si>
    <t>BNT</t>
  </si>
  <si>
    <t>_x000D_
OMG</t>
  </si>
  <si>
    <t>OMG</t>
  </si>
  <si>
    <t>_x000D_
0x</t>
  </si>
  <si>
    <t>ZRX</t>
  </si>
  <si>
    <t>RVN</t>
  </si>
  <si>
    <t>_x000D_
Lido</t>
  </si>
  <si>
    <t>STETH</t>
  </si>
  <si>
    <t>_x000D_
Harmony</t>
  </si>
  <si>
    <t>ONE</t>
  </si>
  <si>
    <t>_x000D_
ICON</t>
  </si>
  <si>
    <t>ICX</t>
  </si>
  <si>
    <t>_x000D_
Curve</t>
  </si>
  <si>
    <t>CRV</t>
  </si>
  <si>
    <t>_x000D_
Helium</t>
  </si>
  <si>
    <t>HNT</t>
  </si>
  <si>
    <t>_x000D_
Paxos</t>
  </si>
  <si>
    <t>PAX</t>
  </si>
  <si>
    <t>Coins</t>
  </si>
  <si>
    <t>EUR</t>
  </si>
  <si>
    <t>Currency Name</t>
  </si>
  <si>
    <t>Code</t>
  </si>
  <si>
    <t>1 usd</t>
  </si>
  <si>
    <t>in usd</t>
  </si>
  <si>
    <t>Converter</t>
  </si>
  <si>
    <t>Chart</t>
  </si>
  <si>
    <t>Euro</t>
  </si>
  <si>
    <t>USD/EUR</t>
  </si>
  <si>
    <t>U.K. Pound Sterling</t>
  </si>
  <si>
    <t>GBP</t>
  </si>
  <si>
    <t>USD/GBP</t>
  </si>
  <si>
    <t>Australian Dollar</t>
  </si>
  <si>
    <t>AUD</t>
  </si>
  <si>
    <t>USD/AUD</t>
  </si>
  <si>
    <t>Canadian Dollar</t>
  </si>
  <si>
    <t>CAD</t>
  </si>
  <si>
    <t>USD/CAD</t>
  </si>
  <si>
    <t>Japanese Yen</t>
  </si>
  <si>
    <t>JPY</t>
  </si>
  <si>
    <t>USD/JPY</t>
  </si>
  <si>
    <t>Swiss Franc</t>
  </si>
  <si>
    <t>CHF</t>
  </si>
  <si>
    <t>USD/CHF</t>
  </si>
  <si>
    <t>Comoro franc</t>
  </si>
  <si>
    <t>KMF</t>
  </si>
  <si>
    <t>USD/KMF</t>
  </si>
  <si>
    <t>Afghan afghani</t>
  </si>
  <si>
    <t>AFN</t>
  </si>
  <si>
    <t>USD/AFN</t>
  </si>
  <si>
    <t>Albanian lek</t>
  </si>
  <si>
    <t>ALL</t>
  </si>
  <si>
    <t>USD/ALL</t>
  </si>
  <si>
    <t>Algerian Dinar</t>
  </si>
  <si>
    <t>DZD</t>
  </si>
  <si>
    <t>USD/DZD</t>
  </si>
  <si>
    <t>Angolan kwanza</t>
  </si>
  <si>
    <t>AOA</t>
  </si>
  <si>
    <t>USD/AOA</t>
  </si>
  <si>
    <t>Argentine Peso</t>
  </si>
  <si>
    <t>ARS</t>
  </si>
  <si>
    <t>USD/ARS</t>
  </si>
  <si>
    <t>Armenia Dram</t>
  </si>
  <si>
    <t>AMD</t>
  </si>
  <si>
    <t>USD/AMD</t>
  </si>
  <si>
    <t>Aruban florin</t>
  </si>
  <si>
    <t>AWG</t>
  </si>
  <si>
    <t>USD/AWG</t>
  </si>
  <si>
    <t>Azerbaijan Manat</t>
  </si>
  <si>
    <t>AZN</t>
  </si>
  <si>
    <t>USD/AZN</t>
  </si>
  <si>
    <t>Bahamian Dollar</t>
  </si>
  <si>
    <t>BSD</t>
  </si>
  <si>
    <t>USD/BSD</t>
  </si>
  <si>
    <t>Bahrain Dinar</t>
  </si>
  <si>
    <t>BHD</t>
  </si>
  <si>
    <t>USD/BHD</t>
  </si>
  <si>
    <t>Bangladeshi taka</t>
  </si>
  <si>
    <t>BDT</t>
  </si>
  <si>
    <t>USD/BDT</t>
  </si>
  <si>
    <t>Barbadian Dollar</t>
  </si>
  <si>
    <t>BBD</t>
  </si>
  <si>
    <t>USD/BBD</t>
  </si>
  <si>
    <t>Belarussian Ruble</t>
  </si>
  <si>
    <t>BYN</t>
  </si>
  <si>
    <t>USD/BYN</t>
  </si>
  <si>
    <t>Belize dollar</t>
  </si>
  <si>
    <t>BZD</t>
  </si>
  <si>
    <t>USD/BZD</t>
  </si>
  <si>
    <t>Bolivian Boliviano</t>
  </si>
  <si>
    <t>BOB</t>
  </si>
  <si>
    <t>USD/BOB</t>
  </si>
  <si>
    <t>Bosnia and Herzegovina convertible mark</t>
  </si>
  <si>
    <t>BAM</t>
  </si>
  <si>
    <t>USD/BAM</t>
  </si>
  <si>
    <t>Botswana Pula</t>
  </si>
  <si>
    <t>BWP</t>
  </si>
  <si>
    <t>USD/BWP</t>
  </si>
  <si>
    <t>Brazilian Real</t>
  </si>
  <si>
    <t>BRL</t>
  </si>
  <si>
    <t>USD/BRL</t>
  </si>
  <si>
    <t>Brunei Dollar</t>
  </si>
  <si>
    <t>BND</t>
  </si>
  <si>
    <t>USD/BND</t>
  </si>
  <si>
    <t>Bulgarian Lev</t>
  </si>
  <si>
    <t>BGN</t>
  </si>
  <si>
    <t>USD/BGN</t>
  </si>
  <si>
    <t>Burundian franc</t>
  </si>
  <si>
    <t>BIF</t>
  </si>
  <si>
    <t>USD/BIF</t>
  </si>
  <si>
    <t>Cambodian riel</t>
  </si>
  <si>
    <t>KHR</t>
  </si>
  <si>
    <t>USD/KHR</t>
  </si>
  <si>
    <t>Cape Verde escudo</t>
  </si>
  <si>
    <t>CVE</t>
  </si>
  <si>
    <t>USD/CVE</t>
  </si>
  <si>
    <t>Central African CFA Franc</t>
  </si>
  <si>
    <t>XAF</t>
  </si>
  <si>
    <t>USD/XAF</t>
  </si>
  <si>
    <t>CFP Franc</t>
  </si>
  <si>
    <t>XPF</t>
  </si>
  <si>
    <t>USD/XPF</t>
  </si>
  <si>
    <t>Chilean Peso</t>
  </si>
  <si>
    <t>CLP</t>
  </si>
  <si>
    <t>USD/CLP</t>
  </si>
  <si>
    <t>Chinese Yuan</t>
  </si>
  <si>
    <t>CNY</t>
  </si>
  <si>
    <t>USD/CNY</t>
  </si>
  <si>
    <t>Colombian Peso</t>
  </si>
  <si>
    <t>COP</t>
  </si>
  <si>
    <t>USD/COP</t>
  </si>
  <si>
    <t>Congolese franc</t>
  </si>
  <si>
    <t>CDF</t>
  </si>
  <si>
    <t>USD/CDF</t>
  </si>
  <si>
    <t>Costa Rican Colón</t>
  </si>
  <si>
    <t>CRC</t>
  </si>
  <si>
    <t>USD/CRC</t>
  </si>
  <si>
    <t>Croatian Kuna</t>
  </si>
  <si>
    <t>HRK</t>
  </si>
  <si>
    <t>USD/HRK</t>
  </si>
  <si>
    <t>Cuban peso</t>
  </si>
  <si>
    <t>CUP</t>
  </si>
  <si>
    <t>USD/CUP</t>
  </si>
  <si>
    <t>Czech Koruna</t>
  </si>
  <si>
    <t>CZK</t>
  </si>
  <si>
    <t>USD/CZK</t>
  </si>
  <si>
    <t>Danish Krone</t>
  </si>
  <si>
    <t>DKK</t>
  </si>
  <si>
    <t>USD/DKK</t>
  </si>
  <si>
    <t>Djiboutian franc</t>
  </si>
  <si>
    <t>DJF</t>
  </si>
  <si>
    <t>USD/DJF</t>
  </si>
  <si>
    <t>Dominican Peso</t>
  </si>
  <si>
    <t>DOP</t>
  </si>
  <si>
    <t>USD/DOP</t>
  </si>
  <si>
    <t>East Caribbean Dollar</t>
  </si>
  <si>
    <t>XCD</t>
  </si>
  <si>
    <t>USD/XCD</t>
  </si>
  <si>
    <t>Egyptian Pound</t>
  </si>
  <si>
    <t>EGP</t>
  </si>
  <si>
    <t>USD/EGP</t>
  </si>
  <si>
    <t>Eritrean nakfa</t>
  </si>
  <si>
    <t>ERN</t>
  </si>
  <si>
    <t>USD/ERN</t>
  </si>
  <si>
    <t>Ethiopian birr</t>
  </si>
  <si>
    <t>ETB</t>
  </si>
  <si>
    <t>USD/ETB</t>
  </si>
  <si>
    <t>Fiji Dollar</t>
  </si>
  <si>
    <t>FJD</t>
  </si>
  <si>
    <t>USD/FJD</t>
  </si>
  <si>
    <t>Gambian dalasi</t>
  </si>
  <si>
    <t>GMD</t>
  </si>
  <si>
    <t>USD/GMD</t>
  </si>
  <si>
    <t>Georgian lari</t>
  </si>
  <si>
    <t>GEL</t>
  </si>
  <si>
    <t>USD/GEL</t>
  </si>
  <si>
    <t>Ghanaian Cedi</t>
  </si>
  <si>
    <t>GHS</t>
  </si>
  <si>
    <t>USD/GHS</t>
  </si>
  <si>
    <t>Gibraltar pound</t>
  </si>
  <si>
    <t>GIP</t>
  </si>
  <si>
    <t>USD/GIP</t>
  </si>
  <si>
    <t>Guatemalan Quetzal</t>
  </si>
  <si>
    <t>GTQ</t>
  </si>
  <si>
    <t>USD/GTQ</t>
  </si>
  <si>
    <t>Guinean franc</t>
  </si>
  <si>
    <t>GNF</t>
  </si>
  <si>
    <t>USD/GNF</t>
  </si>
  <si>
    <t>Guyanese dollar</t>
  </si>
  <si>
    <t>GYD</t>
  </si>
  <si>
    <t>USD/GYD</t>
  </si>
  <si>
    <t>Haitian gourde</t>
  </si>
  <si>
    <t>HTG</t>
  </si>
  <si>
    <t>USD/HTG</t>
  </si>
  <si>
    <t>Honduran Lempira</t>
  </si>
  <si>
    <t>HNL</t>
  </si>
  <si>
    <t>USD/HNL</t>
  </si>
  <si>
    <t>Hong Kong Dollar</t>
  </si>
  <si>
    <t>HKD</t>
  </si>
  <si>
    <t>USD/HKD</t>
  </si>
  <si>
    <t>Hungarian Forint</t>
  </si>
  <si>
    <t>HUF</t>
  </si>
  <si>
    <t>USD/HUF</t>
  </si>
  <si>
    <t>Icelandic Krona</t>
  </si>
  <si>
    <t>ISK</t>
  </si>
  <si>
    <t>USD/ISK</t>
  </si>
  <si>
    <t>Indian Rupee</t>
  </si>
  <si>
    <t>INR</t>
  </si>
  <si>
    <t>USD/INR</t>
  </si>
  <si>
    <t>Indonesian Rupiah</t>
  </si>
  <si>
    <t>IDR</t>
  </si>
  <si>
    <t>USD/IDR</t>
  </si>
  <si>
    <t>Iranian rial</t>
  </si>
  <si>
    <t>IRR</t>
  </si>
  <si>
    <t>USD/IRR</t>
  </si>
  <si>
    <t>Iraqi dinar</t>
  </si>
  <si>
    <t>IQD</t>
  </si>
  <si>
    <t>USD/IQD</t>
  </si>
  <si>
    <t>Israeli New Sheqel</t>
  </si>
  <si>
    <t>ILS</t>
  </si>
  <si>
    <t>USD/ILS</t>
  </si>
  <si>
    <t>Jamaican Dollar</t>
  </si>
  <si>
    <t>JMD</t>
  </si>
  <si>
    <t>USD/JMD</t>
  </si>
  <si>
    <t>Jordanian Dinar</t>
  </si>
  <si>
    <t>JOD</t>
  </si>
  <si>
    <t>USD/JOD</t>
  </si>
  <si>
    <t>Kazakhstani Tenge</t>
  </si>
  <si>
    <t>KZT</t>
  </si>
  <si>
    <t>USD/KZT</t>
  </si>
  <si>
    <t>Kenyan shilling</t>
  </si>
  <si>
    <t>KES</t>
  </si>
  <si>
    <t>USD/KES</t>
  </si>
  <si>
    <t>Kuwaiti Dinar</t>
  </si>
  <si>
    <t>KWD</t>
  </si>
  <si>
    <t>USD/KWD</t>
  </si>
  <si>
    <t>Kyrgyzstan Som</t>
  </si>
  <si>
    <t>KGS</t>
  </si>
  <si>
    <t>USD/KGS</t>
  </si>
  <si>
    <t>Lao kip</t>
  </si>
  <si>
    <t>LAK</t>
  </si>
  <si>
    <t>USD/LAK</t>
  </si>
  <si>
    <t>Lebanese Pound</t>
  </si>
  <si>
    <t>LBP</t>
  </si>
  <si>
    <t>USD/LBP</t>
  </si>
  <si>
    <t>Lesotho loti</t>
  </si>
  <si>
    <t>LSL</t>
  </si>
  <si>
    <t>USD/LSL</t>
  </si>
  <si>
    <t>Liberian dollar</t>
  </si>
  <si>
    <t>LRD</t>
  </si>
  <si>
    <t>USD/LRD</t>
  </si>
  <si>
    <t>Libyan Dinar</t>
  </si>
  <si>
    <t>LYD</t>
  </si>
  <si>
    <t>USD/LYD</t>
  </si>
  <si>
    <t>Macanese pataca</t>
  </si>
  <si>
    <t>MOP</t>
  </si>
  <si>
    <t>USD/MOP</t>
  </si>
  <si>
    <t>Macedonian denar</t>
  </si>
  <si>
    <t>MKD</t>
  </si>
  <si>
    <t>USD/MKD</t>
  </si>
  <si>
    <t>Malagasy ariary</t>
  </si>
  <si>
    <t>MGA</t>
  </si>
  <si>
    <t>USD/MGA</t>
  </si>
  <si>
    <t>Malawian kwacha</t>
  </si>
  <si>
    <t>MWK</t>
  </si>
  <si>
    <t>USD/MWK</t>
  </si>
  <si>
    <t>Malaysian Ringgit</t>
  </si>
  <si>
    <t>MYR</t>
  </si>
  <si>
    <t>USD/MYR</t>
  </si>
  <si>
    <t>Maldivian rufiyaa</t>
  </si>
  <si>
    <t>MVR</t>
  </si>
  <si>
    <t>USD/MVR</t>
  </si>
  <si>
    <t>Mauritanian Ouguiya</t>
  </si>
  <si>
    <t>MRO</t>
  </si>
  <si>
    <t>USD/MRO</t>
  </si>
  <si>
    <t>Mauritanian ouguiya</t>
  </si>
  <si>
    <t>MRU</t>
  </si>
  <si>
    <t>USD/MRU</t>
  </si>
  <si>
    <t>Mauritian Rupee</t>
  </si>
  <si>
    <t>MUR</t>
  </si>
  <si>
    <t>USD/MUR</t>
  </si>
  <si>
    <t>Mexican Peso</t>
  </si>
  <si>
    <t>MXN</t>
  </si>
  <si>
    <t>USD/MXN</t>
  </si>
  <si>
    <t>Moldova Lei</t>
  </si>
  <si>
    <t>MDL</t>
  </si>
  <si>
    <t>USD/MDL</t>
  </si>
  <si>
    <t>Mongolian togrog</t>
  </si>
  <si>
    <t>MNT</t>
  </si>
  <si>
    <t>USD/MNT</t>
  </si>
  <si>
    <t>Moroccan Dirham</t>
  </si>
  <si>
    <t>MAD</t>
  </si>
  <si>
    <t>USD/MAD</t>
  </si>
  <si>
    <t>Mozambican metical</t>
  </si>
  <si>
    <t>MZN</t>
  </si>
  <si>
    <t>USD/MZN</t>
  </si>
  <si>
    <t>Myanma Kyat</t>
  </si>
  <si>
    <t>MMK</t>
  </si>
  <si>
    <t>USD/MMK</t>
  </si>
  <si>
    <t>Namibian dollar</t>
  </si>
  <si>
    <t>NAD</t>
  </si>
  <si>
    <t>USD/NAD</t>
  </si>
  <si>
    <t>Nepalese Rupee</t>
  </si>
  <si>
    <t>NPR</t>
  </si>
  <si>
    <t>USD/NPR</t>
  </si>
  <si>
    <t>Neth. Antillean Guilder</t>
  </si>
  <si>
    <t>ANG</t>
  </si>
  <si>
    <t>USD/ANG</t>
  </si>
  <si>
    <t>New Taiwan Dollar</t>
  </si>
  <si>
    <t>TWD</t>
  </si>
  <si>
    <t>USD/TWD</t>
  </si>
  <si>
    <t>New Turkmenistan Manat</t>
  </si>
  <si>
    <t>TMT</t>
  </si>
  <si>
    <t>USD/TMT</t>
  </si>
  <si>
    <t>New Zealand Dollar</t>
  </si>
  <si>
    <t>NZD</t>
  </si>
  <si>
    <t>USD/NZD</t>
  </si>
  <si>
    <t>Nicaraguan Córdoba</t>
  </si>
  <si>
    <t>NIO</t>
  </si>
  <si>
    <t>USD/NIO</t>
  </si>
  <si>
    <t>Nigerian Naira</t>
  </si>
  <si>
    <t>NGN</t>
  </si>
  <si>
    <t>USD/NGN</t>
  </si>
  <si>
    <t>Norwegian Krone</t>
  </si>
  <si>
    <t>NOK</t>
  </si>
  <si>
    <t>USD/NOK</t>
  </si>
  <si>
    <t>Omani Rial</t>
  </si>
  <si>
    <t>OMR</t>
  </si>
  <si>
    <t>USD/OMR</t>
  </si>
  <si>
    <t>Pakistani Rupee</t>
  </si>
  <si>
    <t>PKR</t>
  </si>
  <si>
    <t>USD/PKR</t>
  </si>
  <si>
    <t>Panamanian Balboa</t>
  </si>
  <si>
    <t>PAB</t>
  </si>
  <si>
    <t>USD/PAB</t>
  </si>
  <si>
    <t>Papua New Guinean kina</t>
  </si>
  <si>
    <t>PGK</t>
  </si>
  <si>
    <t>USD/PGK</t>
  </si>
  <si>
    <t>Paraguayan Guaraní</t>
  </si>
  <si>
    <t>PYG</t>
  </si>
  <si>
    <t>USD/PYG</t>
  </si>
  <si>
    <t>Peruvian Nuevo Sol</t>
  </si>
  <si>
    <t>PEN</t>
  </si>
  <si>
    <t>USD/PEN</t>
  </si>
  <si>
    <t>Philippine Peso</t>
  </si>
  <si>
    <t>PHP</t>
  </si>
  <si>
    <t>USD/PHP</t>
  </si>
  <si>
    <t>Polish Zloty</t>
  </si>
  <si>
    <t>PLN</t>
  </si>
  <si>
    <t>USD/PLN</t>
  </si>
  <si>
    <t>Qatari Rial</t>
  </si>
  <si>
    <t>QAR</t>
  </si>
  <si>
    <t>USD/QAR</t>
  </si>
  <si>
    <t>Romanian New Leu</t>
  </si>
  <si>
    <t>RON</t>
  </si>
  <si>
    <t>USD/RON</t>
  </si>
  <si>
    <t>Russian Rouble</t>
  </si>
  <si>
    <t>RUB</t>
  </si>
  <si>
    <t>USD/RUB</t>
  </si>
  <si>
    <t>Rwandan franc</t>
  </si>
  <si>
    <t>RWF</t>
  </si>
  <si>
    <t>USD/RWF</t>
  </si>
  <si>
    <t>Salvadoran colon</t>
  </si>
  <si>
    <t>SVC</t>
  </si>
  <si>
    <t>USD/SVC</t>
  </si>
  <si>
    <t>Samoan tala</t>
  </si>
  <si>
    <t>WST</t>
  </si>
  <si>
    <t>USD/WST</t>
  </si>
  <si>
    <t>São Tomé and Príncipe Dobra</t>
  </si>
  <si>
    <t>STN</t>
  </si>
  <si>
    <t>USD/STN</t>
  </si>
  <si>
    <t>Saudi Riyal</t>
  </si>
  <si>
    <t>SAR</t>
  </si>
  <si>
    <t>USD/SAR</t>
  </si>
  <si>
    <t>Serbian Dinar</t>
  </si>
  <si>
    <t>RSD</t>
  </si>
  <si>
    <t>USD/RSD</t>
  </si>
  <si>
    <t>Seychelles rupee</t>
  </si>
  <si>
    <t>SCR</t>
  </si>
  <si>
    <t>USD/SCR</t>
  </si>
  <si>
    <t>Sierra Leonean leone</t>
  </si>
  <si>
    <t>SLL</t>
  </si>
  <si>
    <t>USD/SLL</t>
  </si>
  <si>
    <t>Singapore Dollar</t>
  </si>
  <si>
    <t>SGD</t>
  </si>
  <si>
    <t>USD/SGD</t>
  </si>
  <si>
    <t>Solomon Islands dollar</t>
  </si>
  <si>
    <t>SBD</t>
  </si>
  <si>
    <t>USD/SBD</t>
  </si>
  <si>
    <t>Somali shilling</t>
  </si>
  <si>
    <t>SOS</t>
  </si>
  <si>
    <t>USD/SOS</t>
  </si>
  <si>
    <t>South African Rand</t>
  </si>
  <si>
    <t>ZAR</t>
  </si>
  <si>
    <t>USD/ZAR</t>
  </si>
  <si>
    <t>South Korean Won</t>
  </si>
  <si>
    <t>KRW</t>
  </si>
  <si>
    <t>USD/KRW</t>
  </si>
  <si>
    <t>South Sudanese pound</t>
  </si>
  <si>
    <t>SSP</t>
  </si>
  <si>
    <t>USD/SSP</t>
  </si>
  <si>
    <t>Sri Lanka Rupee</t>
  </si>
  <si>
    <t>LKR</t>
  </si>
  <si>
    <t>USD/LKR</t>
  </si>
  <si>
    <t>Sudanese pound</t>
  </si>
  <si>
    <t>SDG</t>
  </si>
  <si>
    <t>USD/SDG</t>
  </si>
  <si>
    <t>Surinamese dollar</t>
  </si>
  <si>
    <t>SRD</t>
  </si>
  <si>
    <t>USD/SRD</t>
  </si>
  <si>
    <t>Swazi lilangeni</t>
  </si>
  <si>
    <t>SZL</t>
  </si>
  <si>
    <t>USD/SZL</t>
  </si>
  <si>
    <t>Swedish Krona</t>
  </si>
  <si>
    <t>SEK</t>
  </si>
  <si>
    <t>USD/SEK</t>
  </si>
  <si>
    <t>Syrian pound</t>
  </si>
  <si>
    <t>SYP</t>
  </si>
  <si>
    <t>USD/SYP</t>
  </si>
  <si>
    <t>Tajikistan Ruble</t>
  </si>
  <si>
    <t>TJS</t>
  </si>
  <si>
    <t>USD/TJS</t>
  </si>
  <si>
    <t>Tanzanian shilling</t>
  </si>
  <si>
    <t>TZS</t>
  </si>
  <si>
    <t>USD/TZS</t>
  </si>
  <si>
    <t>Thai Baht</t>
  </si>
  <si>
    <t>THB</t>
  </si>
  <si>
    <t>USD/THB</t>
  </si>
  <si>
    <t>Tongan paʻanga</t>
  </si>
  <si>
    <t>TOP</t>
  </si>
  <si>
    <t>USD/TOP</t>
  </si>
  <si>
    <t>Trinidad Tobago Dollar</t>
  </si>
  <si>
    <t>TTD</t>
  </si>
  <si>
    <t>USD/TTD</t>
  </si>
  <si>
    <t>Tunisian Dinar</t>
  </si>
  <si>
    <t>TND</t>
  </si>
  <si>
    <t>USD/TND</t>
  </si>
  <si>
    <t>Turkish Lira</t>
  </si>
  <si>
    <t>TRY</t>
  </si>
  <si>
    <t>USD/TRY</t>
  </si>
  <si>
    <t>U.A.E Dirham</t>
  </si>
  <si>
    <t>AED</t>
  </si>
  <si>
    <t>USD/AED</t>
  </si>
  <si>
    <t>Ugandan shilling</t>
  </si>
  <si>
    <t>UGX</t>
  </si>
  <si>
    <t>USD/UGX</t>
  </si>
  <si>
    <t>Ukrainian Hryvnia</t>
  </si>
  <si>
    <t>UAH</t>
  </si>
  <si>
    <t>USD/UAH</t>
  </si>
  <si>
    <t>Uruguayan Peso</t>
  </si>
  <si>
    <t>UYU</t>
  </si>
  <si>
    <t>USD/UYU</t>
  </si>
  <si>
    <t>Uzbekistan Sum</t>
  </si>
  <si>
    <t>UZS</t>
  </si>
  <si>
    <t>USD/UZS</t>
  </si>
  <si>
    <t>Vanuatu vatu</t>
  </si>
  <si>
    <t>VUV</t>
  </si>
  <si>
    <t>USD/VUV</t>
  </si>
  <si>
    <t>Venezuelan Bolivar</t>
  </si>
  <si>
    <t>VES</t>
  </si>
  <si>
    <t>USD/VES</t>
  </si>
  <si>
    <t>Vietnamese Dong</t>
  </si>
  <si>
    <t>VND</t>
  </si>
  <si>
    <t>USD/VND</t>
  </si>
  <si>
    <t>West African CFA Franc</t>
  </si>
  <si>
    <t>XOF</t>
  </si>
  <si>
    <t>USD/XOF</t>
  </si>
  <si>
    <t>Yemeni rial</t>
  </si>
  <si>
    <t>YER</t>
  </si>
  <si>
    <t>USD/YER</t>
  </si>
  <si>
    <t>Zambian kwacha</t>
  </si>
  <si>
    <t>ZMW</t>
  </si>
  <si>
    <t>USD/ZMW</t>
  </si>
  <si>
    <t>Invested(INR)</t>
  </si>
  <si>
    <t>Coins Bought</t>
  </si>
  <si>
    <t>Sr. No.</t>
  </si>
  <si>
    <t>Date</t>
  </si>
  <si>
    <t>Quantity</t>
  </si>
  <si>
    <t xml:space="preserve">Price </t>
  </si>
  <si>
    <t>15/5/2021</t>
  </si>
  <si>
    <t>Current Price(INR)</t>
  </si>
  <si>
    <t>Current Price(USD)</t>
  </si>
  <si>
    <t>Avg Buy</t>
  </si>
  <si>
    <t>Current Value</t>
  </si>
  <si>
    <t>Profit</t>
  </si>
  <si>
    <t>ROI</t>
  </si>
  <si>
    <t>Total Invested</t>
  </si>
  <si>
    <t>Total Current Value</t>
  </si>
  <si>
    <t>1h</t>
  </si>
  <si>
    <t>24h</t>
  </si>
  <si>
    <t>7d</t>
  </si>
  <si>
    <t>24h Volume</t>
  </si>
  <si>
    <t>Mkt Cap</t>
  </si>
  <si>
    <t>Last 7 Days</t>
  </si>
  <si>
    <t xml:space="preserve">Bitcoin
</t>
  </si>
  <si>
    <t xml:space="preserve">
BTC</t>
  </si>
  <si>
    <t xml:space="preserve">Ethereum
</t>
  </si>
  <si>
    <t xml:space="preserve">
ETH</t>
  </si>
  <si>
    <t>Binance</t>
  </si>
  <si>
    <t xml:space="preserve">
BNB
</t>
  </si>
  <si>
    <t xml:space="preserve">Cardano
</t>
  </si>
  <si>
    <t xml:space="preserve">
ADA</t>
  </si>
  <si>
    <t xml:space="preserve">XRP
</t>
  </si>
  <si>
    <t xml:space="preserve">
XRP</t>
  </si>
  <si>
    <t xml:space="preserve">Dogecoin
</t>
  </si>
  <si>
    <t xml:space="preserve">
DOGE</t>
  </si>
  <si>
    <t xml:space="preserve">Tether
</t>
  </si>
  <si>
    <t xml:space="preserve">
USDT</t>
  </si>
  <si>
    <t xml:space="preserve">Polkadot
</t>
  </si>
  <si>
    <t xml:space="preserve">
DOT</t>
  </si>
  <si>
    <t>Bitcoin</t>
  </si>
  <si>
    <t xml:space="preserve">
BCH
</t>
  </si>
  <si>
    <t xml:space="preserve">Litecoin
</t>
  </si>
  <si>
    <t xml:space="preserve">
LTC</t>
  </si>
  <si>
    <t xml:space="preserve">Uniswap
</t>
  </si>
  <si>
    <t xml:space="preserve">
UNI</t>
  </si>
  <si>
    <t xml:space="preserve">Chainlink
</t>
  </si>
  <si>
    <t xml:space="preserve">
LINK</t>
  </si>
  <si>
    <t>USD</t>
  </si>
  <si>
    <t xml:space="preserve">Stellar
</t>
  </si>
  <si>
    <t xml:space="preserve">
XLM</t>
  </si>
  <si>
    <t>Ethereum</t>
  </si>
  <si>
    <t xml:space="preserve">
ETC
</t>
  </si>
  <si>
    <t xml:space="preserve">VeChain
</t>
  </si>
  <si>
    <t xml:space="preserve">
VET</t>
  </si>
  <si>
    <t xml:space="preserve">Solana
</t>
  </si>
  <si>
    <t xml:space="preserve">
SOL</t>
  </si>
  <si>
    <t xml:space="preserve">EOS
</t>
  </si>
  <si>
    <t xml:space="preserve">
EOS</t>
  </si>
  <si>
    <t xml:space="preserve">Polygon
</t>
  </si>
  <si>
    <t xml:space="preserve">
MATIC</t>
  </si>
  <si>
    <t>Theta</t>
  </si>
  <si>
    <t xml:space="preserve">
THETA
</t>
  </si>
  <si>
    <t xml:space="preserve">TRON
</t>
  </si>
  <si>
    <t xml:space="preserve">
TRX</t>
  </si>
  <si>
    <t xml:space="preserve">OKB
</t>
  </si>
  <si>
    <t xml:space="preserve">
OKB</t>
  </si>
  <si>
    <t>Wrapped</t>
  </si>
  <si>
    <t xml:space="preserve">
WBTC
</t>
  </si>
  <si>
    <t xml:space="preserve">Filecoin
</t>
  </si>
  <si>
    <t xml:space="preserve">
FIL</t>
  </si>
  <si>
    <t>Shiba</t>
  </si>
  <si>
    <t xml:space="preserve">
SHIB
</t>
  </si>
  <si>
    <t xml:space="preserve">
BUSD
</t>
  </si>
  <si>
    <t xml:space="preserve">Monero
</t>
  </si>
  <si>
    <t xml:space="preserve">
XMR</t>
  </si>
  <si>
    <t xml:space="preserve">Aave
</t>
  </si>
  <si>
    <t xml:space="preserve">
AAVE</t>
  </si>
  <si>
    <t xml:space="preserve">NEO
</t>
  </si>
  <si>
    <t xml:space="preserve">
NEO</t>
  </si>
  <si>
    <t xml:space="preserve">Cosmos
</t>
  </si>
  <si>
    <t xml:space="preserve">
ATOM</t>
  </si>
  <si>
    <t xml:space="preserve">Klaytn
</t>
  </si>
  <si>
    <t xml:space="preserve">
KLAY</t>
  </si>
  <si>
    <t xml:space="preserve">
BSV
</t>
  </si>
  <si>
    <t xml:space="preserve">Terra
</t>
  </si>
  <si>
    <t xml:space="preserve">
LUNA</t>
  </si>
  <si>
    <t xml:space="preserve">cETH
</t>
  </si>
  <si>
    <t xml:space="preserve">
CETH</t>
  </si>
  <si>
    <t>Huobi</t>
  </si>
  <si>
    <t xml:space="preserve">
HT
</t>
  </si>
  <si>
    <t xml:space="preserve">IOTA
</t>
  </si>
  <si>
    <t xml:space="preserve">
MIOTA</t>
  </si>
  <si>
    <t xml:space="preserve">Kusama
</t>
  </si>
  <si>
    <t xml:space="preserve">
KSM</t>
  </si>
  <si>
    <t xml:space="preserve">Tezos
</t>
  </si>
  <si>
    <t xml:space="preserve">
XTZ</t>
  </si>
  <si>
    <t xml:space="preserve">PancakeSwap
</t>
  </si>
  <si>
    <t xml:space="preserve">
CAKE</t>
  </si>
  <si>
    <t xml:space="preserve">SafeMoon
</t>
  </si>
  <si>
    <t xml:space="preserve">
SAFEMOON</t>
  </si>
  <si>
    <t xml:space="preserve">Avalanche
</t>
  </si>
  <si>
    <t xml:space="preserve">
AVAX</t>
  </si>
  <si>
    <t>FTX</t>
  </si>
  <si>
    <t xml:space="preserve">
FTT
</t>
  </si>
  <si>
    <t xml:space="preserve">Dai
</t>
  </si>
  <si>
    <t xml:space="preserve">
DAI</t>
  </si>
  <si>
    <t xml:space="preserve">Algorand
</t>
  </si>
  <si>
    <t xml:space="preserve">
ALGO</t>
  </si>
  <si>
    <t xml:space="preserve">THORChain
</t>
  </si>
  <si>
    <t xml:space="preserve">
RUNE</t>
  </si>
  <si>
    <t xml:space="preserve">Maker
</t>
  </si>
  <si>
    <t xml:space="preserve">cDAI
</t>
  </si>
  <si>
    <t xml:space="preserve">
CDAI</t>
  </si>
  <si>
    <t>Crypto.com</t>
  </si>
  <si>
    <t xml:space="preserve">
CRO
</t>
  </si>
  <si>
    <t xml:space="preserve">cUSDC
</t>
  </si>
  <si>
    <t xml:space="preserve">
CUSDC</t>
  </si>
  <si>
    <t xml:space="preserve">BitTorrent
</t>
  </si>
  <si>
    <t xml:space="preserve">
BTT</t>
  </si>
  <si>
    <t xml:space="preserve">Compound
</t>
  </si>
  <si>
    <t xml:space="preserve">
COMP</t>
  </si>
  <si>
    <t xml:space="preserve">Dash
</t>
  </si>
  <si>
    <t xml:space="preserve">
DASH</t>
  </si>
  <si>
    <t xml:space="preserve">Waves
</t>
  </si>
  <si>
    <t xml:space="preserve">
WAVES</t>
  </si>
  <si>
    <t xml:space="preserve">
LEO
</t>
  </si>
  <si>
    <t>Synthetix</t>
  </si>
  <si>
    <t xml:space="preserve">Token
</t>
  </si>
  <si>
    <t xml:space="preserve">Zcash
</t>
  </si>
  <si>
    <t xml:space="preserve">
ZEC</t>
  </si>
  <si>
    <t xml:space="preserve">Sushi
</t>
  </si>
  <si>
    <t xml:space="preserve">
SUSHI</t>
  </si>
  <si>
    <t xml:space="preserve">Elrond
</t>
  </si>
  <si>
    <t xml:space="preserve">
EGLD</t>
  </si>
  <si>
    <t xml:space="preserve">NEM
</t>
  </si>
  <si>
    <t xml:space="preserve">
XEM</t>
  </si>
  <si>
    <t>Celsius</t>
  </si>
  <si>
    <t>Hedera</t>
  </si>
  <si>
    <t xml:space="preserve">
HBAR
</t>
  </si>
  <si>
    <t xml:space="preserve">yearn.finance
</t>
  </si>
  <si>
    <t xml:space="preserve">
YFI</t>
  </si>
  <si>
    <t xml:space="preserve">Chiliz
</t>
  </si>
  <si>
    <t xml:space="preserve">
CHZ</t>
  </si>
  <si>
    <t xml:space="preserve">Decred
</t>
  </si>
  <si>
    <t xml:space="preserve">
DCR</t>
  </si>
  <si>
    <t xml:space="preserve">Near
</t>
  </si>
  <si>
    <t xml:space="preserve">
NEAR</t>
  </si>
  <si>
    <t xml:space="preserve">Zilliqa
</t>
  </si>
  <si>
    <t xml:space="preserve">
ZIL</t>
  </si>
  <si>
    <t xml:space="preserve">Amp
</t>
  </si>
  <si>
    <t xml:space="preserve">
AMP</t>
  </si>
  <si>
    <t xml:space="preserve">Qtum
</t>
  </si>
  <si>
    <t xml:space="preserve">
QTUM</t>
  </si>
  <si>
    <t xml:space="preserve">Telcoin
</t>
  </si>
  <si>
    <t xml:space="preserve">
TEL</t>
  </si>
  <si>
    <t xml:space="preserve">TerraUSD
</t>
  </si>
  <si>
    <t xml:space="preserve">NEXO
</t>
  </si>
  <si>
    <t xml:space="preserve">
NEXO</t>
  </si>
  <si>
    <t xml:space="preserve">Holo
</t>
  </si>
  <si>
    <t xml:space="preserve">
HOT</t>
  </si>
  <si>
    <t>Enjin</t>
  </si>
  <si>
    <t xml:space="preserve">
ENJ
</t>
  </si>
  <si>
    <t>Basic</t>
  </si>
  <si>
    <t>The</t>
  </si>
  <si>
    <t xml:space="preserve">
GRT
</t>
  </si>
  <si>
    <t xml:space="preserve">Ontology
</t>
  </si>
  <si>
    <t xml:space="preserve">
ONT</t>
  </si>
  <si>
    <t xml:space="preserve">
BTG
</t>
  </si>
  <si>
    <t xml:space="preserve">Stacks
</t>
  </si>
  <si>
    <t xml:space="preserve">
STX</t>
  </si>
  <si>
    <t xml:space="preserve">Decentraland
</t>
  </si>
  <si>
    <t xml:space="preserve">
MANA</t>
  </si>
  <si>
    <t xml:space="preserve">Fantom
</t>
  </si>
  <si>
    <t xml:space="preserve">
FTM</t>
  </si>
  <si>
    <t xml:space="preserve">DigiByte
</t>
  </si>
  <si>
    <t xml:space="preserve">
DGB</t>
  </si>
  <si>
    <t xml:space="preserve">UMA
</t>
  </si>
  <si>
    <t xml:space="preserve">
UMA</t>
  </si>
  <si>
    <t xml:space="preserve">
HBTC
</t>
  </si>
  <si>
    <t>Liquity</t>
  </si>
  <si>
    <t xml:space="preserve">
LUSD
</t>
  </si>
  <si>
    <t xml:space="preserve">Nano
</t>
  </si>
  <si>
    <t xml:space="preserve">
NANO</t>
  </si>
  <si>
    <t xml:space="preserve">GateToken
</t>
  </si>
  <si>
    <t xml:space="preserve">
GT</t>
  </si>
  <si>
    <t xml:space="preserve">Horizen
</t>
  </si>
  <si>
    <t xml:space="preserve">
ZEN</t>
  </si>
  <si>
    <t xml:space="preserve">Siacoin
</t>
  </si>
  <si>
    <t xml:space="preserve">
SC</t>
  </si>
  <si>
    <t>Bancor</t>
  </si>
  <si>
    <t>Pirate</t>
  </si>
  <si>
    <t xml:space="preserve">
OMG
</t>
  </si>
  <si>
    <t xml:space="preserve">0x
</t>
  </si>
  <si>
    <t xml:space="preserve">
ZRX</t>
  </si>
  <si>
    <t>Lido</t>
  </si>
  <si>
    <t xml:space="preserve">Ether
</t>
  </si>
  <si>
    <t xml:space="preserve">Harmony
</t>
  </si>
  <si>
    <t xml:space="preserve">
ONE</t>
  </si>
  <si>
    <t xml:space="preserve">ICON
</t>
  </si>
  <si>
    <t xml:space="preserve">
ICX</t>
  </si>
  <si>
    <t xml:space="preserve">Helium
</t>
  </si>
  <si>
    <t xml:space="preserve">
HNT</t>
  </si>
  <si>
    <t>Curve</t>
  </si>
  <si>
    <t>Paxos</t>
  </si>
  <si>
    <t xml:space="preserve">
PAX
</t>
  </si>
  <si>
    <t>Coin Name</t>
  </si>
  <si>
    <t xml:space="preserve">
USDC
</t>
  </si>
  <si>
    <t xml:space="preserve">
CEL
</t>
  </si>
  <si>
    <t xml:space="preserve">
ARRR
</t>
  </si>
  <si>
    <t>Column1.name</t>
  </si>
  <si>
    <t>Binance Coin</t>
  </si>
  <si>
    <t>Cardano</t>
  </si>
  <si>
    <t>Dogecoin</t>
  </si>
  <si>
    <t>Tether</t>
  </si>
  <si>
    <t>Polkadot</t>
  </si>
  <si>
    <t>Internet Computer</t>
  </si>
  <si>
    <t>ICP</t>
  </si>
  <si>
    <t>Bitcoin Cash</t>
  </si>
  <si>
    <t>Uniswap</t>
  </si>
  <si>
    <t>Litecoin</t>
  </si>
  <si>
    <t>Chainlink</t>
  </si>
  <si>
    <t>Stellar</t>
  </si>
  <si>
    <t>USD Coin</t>
  </si>
  <si>
    <t>Solana</t>
  </si>
  <si>
    <t>VeChain</t>
  </si>
  <si>
    <t>Ethereum Classic</t>
  </si>
  <si>
    <t>Polygon</t>
  </si>
  <si>
    <t>TRON</t>
  </si>
  <si>
    <t>Wrapped Bitcoin</t>
  </si>
  <si>
    <t>Filecoin</t>
  </si>
  <si>
    <t>Binance USD</t>
  </si>
  <si>
    <t>Monero</t>
  </si>
  <si>
    <t>Aave</t>
  </si>
  <si>
    <t>Neo</t>
  </si>
  <si>
    <t>SHIBA INU</t>
  </si>
  <si>
    <t>Terra</t>
  </si>
  <si>
    <t>Klaytn</t>
  </si>
  <si>
    <t>Bitcoin SV</t>
  </si>
  <si>
    <t>IOTA</t>
  </si>
  <si>
    <t>Huobi Token</t>
  </si>
  <si>
    <t>Cosmos</t>
  </si>
  <si>
    <t>Tezos</t>
  </si>
  <si>
    <t>FTX Token</t>
  </si>
  <si>
    <t>PancakeSwap</t>
  </si>
  <si>
    <t>Kusama</t>
  </si>
  <si>
    <t>Dai</t>
  </si>
  <si>
    <t>Avalanche</t>
  </si>
  <si>
    <t>Maker</t>
  </si>
  <si>
    <t>Algorand</t>
  </si>
  <si>
    <t>THORChain</t>
  </si>
  <si>
    <t>Crypto.com Coin</t>
  </si>
  <si>
    <t>BitTorrent</t>
  </si>
  <si>
    <t>Compound</t>
  </si>
  <si>
    <t>Dash</t>
  </si>
  <si>
    <t>UNUS SED LEO</t>
  </si>
  <si>
    <t>Waves</t>
  </si>
  <si>
    <t>Zcash</t>
  </si>
  <si>
    <t>Elrond</t>
  </si>
  <si>
    <t>Hedera Hashgraph</t>
  </si>
  <si>
    <t>NEM</t>
  </si>
  <si>
    <t>Bitcoin BEP2</t>
  </si>
  <si>
    <t>BTCB</t>
  </si>
  <si>
    <t>Chiliz</t>
  </si>
  <si>
    <t>yearn.finance</t>
  </si>
  <si>
    <t>Decred</t>
  </si>
  <si>
    <t>NEAR Protocol</t>
  </si>
  <si>
    <t>Zilliqa</t>
  </si>
  <si>
    <t>SushiSwap</t>
  </si>
  <si>
    <t>Telcoin</t>
  </si>
  <si>
    <t>TerraUSD</t>
  </si>
  <si>
    <t>Qtum</t>
  </si>
  <si>
    <t>Decentraland</t>
  </si>
  <si>
    <t>Nexo</t>
  </si>
  <si>
    <t>Holo</t>
  </si>
  <si>
    <t>Basic Attention Token</t>
  </si>
  <si>
    <t>Stacks</t>
  </si>
  <si>
    <t>Revain</t>
  </si>
  <si>
    <t>REV</t>
  </si>
  <si>
    <t>Bitcoin Gold</t>
  </si>
  <si>
    <t>Theta Fuel</t>
  </si>
  <si>
    <t>TFUEL</t>
  </si>
  <si>
    <t>Ontology</t>
  </si>
  <si>
    <t>Enjin Coin</t>
  </si>
  <si>
    <t>The Graph</t>
  </si>
  <si>
    <t>Fantom</t>
  </si>
  <si>
    <t>DigiByte</t>
  </si>
  <si>
    <t>Horizen</t>
  </si>
  <si>
    <t>Nano</t>
  </si>
  <si>
    <t>Siacoin</t>
  </si>
  <si>
    <t>Harmony</t>
  </si>
  <si>
    <t>BakeryToken</t>
  </si>
  <si>
    <t>BAKE</t>
  </si>
  <si>
    <t>OMG Network</t>
  </si>
  <si>
    <t>0x</t>
  </si>
  <si>
    <t>ICON</t>
  </si>
  <si>
    <t>Ravencoin</t>
  </si>
  <si>
    <t>Helium</t>
  </si>
  <si>
    <t>Paxos Standard</t>
  </si>
  <si>
    <t>Curve DAO Token</t>
  </si>
  <si>
    <t>TrueUSD</t>
  </si>
  <si>
    <t>TUSD</t>
  </si>
  <si>
    <t>SwissBorg</t>
  </si>
  <si>
    <t>CHSB</t>
  </si>
  <si>
    <t>Celo</t>
  </si>
  <si>
    <t>CELO</t>
  </si>
  <si>
    <t>Ankr</t>
  </si>
  <si>
    <t>ANKR</t>
  </si>
  <si>
    <t>Reserve Rights</t>
  </si>
  <si>
    <t>RSR</t>
  </si>
  <si>
    <t xml:space="preserve">TrueUSD
</t>
  </si>
  <si>
    <t xml:space="preserve">
TUSD</t>
  </si>
  <si>
    <t>_x000D_
TrueUSD</t>
  </si>
  <si>
    <t xml:space="preserve">xSUSHI
</t>
  </si>
  <si>
    <t xml:space="preserve">
XSUSHI</t>
  </si>
  <si>
    <t>_x000D_
xSUSHI</t>
  </si>
  <si>
    <t>XSUSHI</t>
  </si>
  <si>
    <t>Crypto Portfolio</t>
  </si>
  <si>
    <t xml:space="preserve">
MKR</t>
  </si>
  <si>
    <t>KuCoin Token</t>
  </si>
  <si>
    <t>KCS</t>
  </si>
  <si>
    <t xml:space="preserve">
UST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</si>
</sst>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 [$₹-4009]\ * #,##0.00_ ;_ [$₹-4009]\ * \-#,##0.00_ ;_ [$₹-4009]\ * &quot;-&quot;??_ ;_ @_ "/>
    <numFmt numFmtId="165" formatCode="_([$$-409]* #,##0.00_);_([$$-409]* \(#,##0.00\);_([$$-409]* &quot;-&quot;??_);_(@_)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22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9" fontId="0" fillId="0" borderId="0" xfId="1" applyFont="1"/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/>
    <xf numFmtId="164" fontId="0" fillId="0" borderId="5" xfId="0" applyNumberFormat="1" applyBorder="1" applyAlignment="1">
      <alignment horizontal="center" vertical="center"/>
    </xf>
    <xf numFmtId="9" fontId="0" fillId="0" borderId="6" xfId="1" applyFont="1" applyBorder="1"/>
    <xf numFmtId="164" fontId="0" fillId="0" borderId="0" xfId="0" applyNumberFormat="1" applyBorder="1" applyAlignment="1">
      <alignment horizontal="center" vertical="center"/>
    </xf>
    <xf numFmtId="9" fontId="0" fillId="0" borderId="8" xfId="1" applyFont="1" applyBorder="1"/>
    <xf numFmtId="164" fontId="0" fillId="0" borderId="10" xfId="0" applyNumberFormat="1" applyBorder="1" applyAlignment="1">
      <alignment horizontal="center" vertical="center"/>
    </xf>
    <xf numFmtId="9" fontId="0" fillId="0" borderId="11" xfId="1" applyFont="1" applyBorder="1"/>
    <xf numFmtId="0" fontId="0" fillId="0" borderId="0" xfId="0" applyFill="1" applyAlignment="1">
      <alignment horizontal="center" vertical="center"/>
    </xf>
    <xf numFmtId="0" fontId="0" fillId="3" borderId="4" xfId="0" applyFill="1" applyBorder="1" applyAlignment="1">
      <alignment horizontal="left" vertical="center"/>
    </xf>
    <xf numFmtId="165" fontId="0" fillId="3" borderId="5" xfId="0" applyNumberFormat="1" applyFill="1" applyBorder="1" applyAlignment="1">
      <alignment horizontal="center" vertical="center"/>
    </xf>
    <xf numFmtId="164" fontId="0" fillId="3" borderId="5" xfId="0" applyNumberForma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7" xfId="0" applyFill="1" applyBorder="1" applyAlignment="1">
      <alignment horizontal="left" vertical="center"/>
    </xf>
    <xf numFmtId="165" fontId="0" fillId="3" borderId="0" xfId="0" applyNumberFormat="1" applyFill="1" applyBorder="1" applyAlignment="1">
      <alignment horizontal="center" vertical="center"/>
    </xf>
    <xf numFmtId="164" fontId="0" fillId="3" borderId="0" xfId="0" applyNumberForma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9" xfId="0" applyFill="1" applyBorder="1" applyAlignment="1">
      <alignment horizontal="left" vertical="center"/>
    </xf>
    <xf numFmtId="165" fontId="0" fillId="3" borderId="10" xfId="0" applyNumberFormat="1" applyFill="1" applyBorder="1" applyAlignment="1">
      <alignment horizontal="center" vertical="center"/>
    </xf>
    <xf numFmtId="164" fontId="0" fillId="3" borderId="10" xfId="0" applyNumberFormat="1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 sz="1700" baseline="0"/>
              <a:t>Current Value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2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46D-49DE-A1F4-DB1FABB3358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46D-49DE-A1F4-DB1FABB3358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46D-49DE-A1F4-DB1FABB3358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46D-49DE-A1F4-DB1FABB33586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46D-49DE-A1F4-DB1FABB33586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46D-49DE-A1F4-DB1FABB33586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046D-49DE-A1F4-DB1FABB33586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046D-49DE-A1F4-DB1FABB33586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046D-49DE-A1F4-DB1FABB3358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bg1"/>
                    </a:solidFill>
                    <a:effectLst>
                      <a:outerShdw blurRad="50800" dist="38100" dir="2700000" algn="tl" rotWithShape="0">
                        <a:schemeClr val="bg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Dashboard!$B$6:$B$14</c:f>
              <c:strCache>
                <c:ptCount val="9"/>
                <c:pt idx="0">
                  <c:v>MATIC</c:v>
                </c:pt>
                <c:pt idx="1">
                  <c:v>DOGE</c:v>
                </c:pt>
                <c:pt idx="2">
                  <c:v>BTC</c:v>
                </c:pt>
                <c:pt idx="3">
                  <c:v>ETH</c:v>
                </c:pt>
                <c:pt idx="4">
                  <c:v>ONE</c:v>
                </c:pt>
                <c:pt idx="5">
                  <c:v>TRX</c:v>
                </c:pt>
                <c:pt idx="6">
                  <c:v>XLM</c:v>
                </c:pt>
                <c:pt idx="7">
                  <c:v>XRP</c:v>
                </c:pt>
                <c:pt idx="8">
                  <c:v>SOL</c:v>
                </c:pt>
              </c:strCache>
            </c:strRef>
          </c:cat>
          <c:val>
            <c:numRef>
              <c:f>Dashboard!$H$6:$H$14</c:f>
              <c:numCache>
                <c:formatCode>_ [$₹-4009]\ * #,##0.00_ ;_ [$₹-4009]\ * \-#,##0.00_ ;_ [$₹-4009]\ * "-"??_ ;_ @_ </c:formatCode>
                <c:ptCount val="9"/>
                <c:pt idx="0">
                  <c:v>221624.01480362628</c:v>
                </c:pt>
                <c:pt idx="1">
                  <c:v>21934.414983439019</c:v>
                </c:pt>
                <c:pt idx="2">
                  <c:v>763786.01523695118</c:v>
                </c:pt>
                <c:pt idx="3">
                  <c:v>1057012.0416305948</c:v>
                </c:pt>
                <c:pt idx="4">
                  <c:v>4742.9743962339853</c:v>
                </c:pt>
                <c:pt idx="5">
                  <c:v>405.71262625234124</c:v>
                </c:pt>
                <c:pt idx="6">
                  <c:v>290.14652321316373</c:v>
                </c:pt>
                <c:pt idx="7">
                  <c:v>784.67557189151125</c:v>
                </c:pt>
                <c:pt idx="8">
                  <c:v>219266.04222891407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6D40-4A57-8B80-4F7CAAA40951}"/>
            </c:ext>
          </c:extLst>
        </c:ser>
        <c:ser>
          <c:idx val="3"/>
          <c:order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4-6D40-4A57-8B80-4F7CAAA4095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5-6D40-4A57-8B80-4F7CAAA4095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6-6D40-4A57-8B80-4F7CAAA40951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7-6D40-4A57-8B80-4F7CAAA40951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8-6D40-4A57-8B80-4F7CAAA40951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9-6D40-4A57-8B80-4F7CAAA40951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A-6D40-4A57-8B80-4F7CAAA40951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B-6D40-4A57-8B80-4F7CAAA40951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C-6D40-4A57-8B80-4F7CAAA409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Dashboard!$B$6:$B$14</c:f>
              <c:strCache>
                <c:ptCount val="9"/>
                <c:pt idx="0">
                  <c:v>MATIC</c:v>
                </c:pt>
                <c:pt idx="1">
                  <c:v>DOGE</c:v>
                </c:pt>
                <c:pt idx="2">
                  <c:v>BTC</c:v>
                </c:pt>
                <c:pt idx="3">
                  <c:v>ETH</c:v>
                </c:pt>
                <c:pt idx="4">
                  <c:v>ONE</c:v>
                </c:pt>
                <c:pt idx="5">
                  <c:v>TRX</c:v>
                </c:pt>
                <c:pt idx="6">
                  <c:v>XLM</c:v>
                </c:pt>
                <c:pt idx="7">
                  <c:v>XRP</c:v>
                </c:pt>
                <c:pt idx="8">
                  <c:v>SOL</c:v>
                </c:pt>
              </c:strCache>
            </c:strRef>
          </c:cat>
          <c:val>
            <c:numRef>
              <c:f>Dashboard!$H$6:$H$14</c:f>
              <c:numCache>
                <c:formatCode>_ [$₹-4009]\ * #,##0.00_ ;_ [$₹-4009]\ * \-#,##0.00_ ;_ [$₹-4009]\ * "-"??_ ;_ @_ </c:formatCode>
                <c:ptCount val="9"/>
                <c:pt idx="0">
                  <c:v>221624.01480362628</c:v>
                </c:pt>
                <c:pt idx="1">
                  <c:v>21934.414983439019</c:v>
                </c:pt>
                <c:pt idx="2">
                  <c:v>763786.01523695118</c:v>
                </c:pt>
                <c:pt idx="3">
                  <c:v>1057012.0416305948</c:v>
                </c:pt>
                <c:pt idx="4">
                  <c:v>4742.9743962339853</c:v>
                </c:pt>
                <c:pt idx="5">
                  <c:v>405.71262625234124</c:v>
                </c:pt>
                <c:pt idx="6">
                  <c:v>290.14652321316373</c:v>
                </c:pt>
                <c:pt idx="7">
                  <c:v>784.67557189151125</c:v>
                </c:pt>
                <c:pt idx="8">
                  <c:v>219266.04222891407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6D40-4A57-8B80-4F7CAAA40951}"/>
            </c:ext>
          </c:extLst>
        </c:ser>
        <c:ser>
          <c:idx val="1"/>
          <c:order val="2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C-6D40-4A57-8B80-4F7CAAA4095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E-6D40-4A57-8B80-4F7CAAA4095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0-6D40-4A57-8B80-4F7CAAA40951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2-6D40-4A57-8B80-4F7CAAA40951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4-6D40-4A57-8B80-4F7CAAA40951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6-6D40-4A57-8B80-4F7CAAA40951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8-6D40-4A57-8B80-4F7CAAA40951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A-6D40-4A57-8B80-4F7CAAA40951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C-6D40-4A57-8B80-4F7CAAA409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Dashboard!$B$6:$B$14</c:f>
              <c:strCache>
                <c:ptCount val="9"/>
                <c:pt idx="0">
                  <c:v>MATIC</c:v>
                </c:pt>
                <c:pt idx="1">
                  <c:v>DOGE</c:v>
                </c:pt>
                <c:pt idx="2">
                  <c:v>BTC</c:v>
                </c:pt>
                <c:pt idx="3">
                  <c:v>ETH</c:v>
                </c:pt>
                <c:pt idx="4">
                  <c:v>ONE</c:v>
                </c:pt>
                <c:pt idx="5">
                  <c:v>TRX</c:v>
                </c:pt>
                <c:pt idx="6">
                  <c:v>XLM</c:v>
                </c:pt>
                <c:pt idx="7">
                  <c:v>XRP</c:v>
                </c:pt>
                <c:pt idx="8">
                  <c:v>SOL</c:v>
                </c:pt>
              </c:strCache>
            </c:strRef>
          </c:cat>
          <c:val>
            <c:numRef>
              <c:f>Dashboard!$H$6:$H$14</c:f>
              <c:numCache>
                <c:formatCode>_ [$₹-4009]\ * #,##0.00_ ;_ [$₹-4009]\ * \-#,##0.00_ ;_ [$₹-4009]\ * "-"??_ ;_ @_ </c:formatCode>
                <c:ptCount val="9"/>
                <c:pt idx="0">
                  <c:v>221624.01480362628</c:v>
                </c:pt>
                <c:pt idx="1">
                  <c:v>21934.414983439019</c:v>
                </c:pt>
                <c:pt idx="2">
                  <c:v>763786.01523695118</c:v>
                </c:pt>
                <c:pt idx="3">
                  <c:v>1057012.0416305948</c:v>
                </c:pt>
                <c:pt idx="4">
                  <c:v>4742.9743962339853</c:v>
                </c:pt>
                <c:pt idx="5">
                  <c:v>405.71262625234124</c:v>
                </c:pt>
                <c:pt idx="6">
                  <c:v>290.14652321316373</c:v>
                </c:pt>
                <c:pt idx="7">
                  <c:v>784.67557189151125</c:v>
                </c:pt>
                <c:pt idx="8">
                  <c:v>219266.04222891407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6D40-4A57-8B80-4F7CAAA40951}"/>
            </c:ext>
          </c:extLst>
        </c:ser>
        <c:ser>
          <c:idx val="0"/>
          <c:order val="3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0-6D40-4A57-8B80-4F7CAAA4095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2-6D40-4A57-8B80-4F7CAAA4095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4-6D40-4A57-8B80-4F7CAAA40951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6-6D40-4A57-8B80-4F7CAAA40951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8-6D40-4A57-8B80-4F7CAAA40951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A-6D40-4A57-8B80-4F7CAAA40951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C-6D40-4A57-8B80-4F7CAAA40951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E-6D40-4A57-8B80-4F7CAAA40951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0-6D40-4A57-8B80-4F7CAAA409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Dashboard!$B$6:$B$14</c:f>
              <c:strCache>
                <c:ptCount val="9"/>
                <c:pt idx="0">
                  <c:v>MATIC</c:v>
                </c:pt>
                <c:pt idx="1">
                  <c:v>DOGE</c:v>
                </c:pt>
                <c:pt idx="2">
                  <c:v>BTC</c:v>
                </c:pt>
                <c:pt idx="3">
                  <c:v>ETH</c:v>
                </c:pt>
                <c:pt idx="4">
                  <c:v>ONE</c:v>
                </c:pt>
                <c:pt idx="5">
                  <c:v>TRX</c:v>
                </c:pt>
                <c:pt idx="6">
                  <c:v>XLM</c:v>
                </c:pt>
                <c:pt idx="7">
                  <c:v>XRP</c:v>
                </c:pt>
                <c:pt idx="8">
                  <c:v>SOL</c:v>
                </c:pt>
              </c:strCache>
            </c:strRef>
          </c:cat>
          <c:val>
            <c:numRef>
              <c:f>Dashboard!$H$6:$H$14</c:f>
              <c:numCache>
                <c:formatCode>_ [$₹-4009]\ * #,##0.00_ ;_ [$₹-4009]\ * \-#,##0.00_ ;_ [$₹-4009]\ * "-"??_ ;_ @_ </c:formatCode>
                <c:ptCount val="9"/>
                <c:pt idx="0">
                  <c:v>221624.01480362628</c:v>
                </c:pt>
                <c:pt idx="1">
                  <c:v>21934.414983439019</c:v>
                </c:pt>
                <c:pt idx="2">
                  <c:v>763786.01523695118</c:v>
                </c:pt>
                <c:pt idx="3">
                  <c:v>1057012.0416305948</c:v>
                </c:pt>
                <c:pt idx="4">
                  <c:v>4742.9743962339853</c:v>
                </c:pt>
                <c:pt idx="5">
                  <c:v>405.71262625234124</c:v>
                </c:pt>
                <c:pt idx="6">
                  <c:v>290.14652321316373</c:v>
                </c:pt>
                <c:pt idx="7">
                  <c:v>784.67557189151125</c:v>
                </c:pt>
                <c:pt idx="8">
                  <c:v>219266.04222891407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6D40-4A57-8B80-4F7CAAA40951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 sz="1700" baseline="0"/>
              <a:t>Profit/Loss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Dashboard!$B$6</c:f>
              <c:strCache>
                <c:ptCount val="1"/>
                <c:pt idx="0">
                  <c:v>MATIC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Dashboard!$I$6</c:f>
              <c:numCache>
                <c:formatCode>_ [$₹-4009]\ * #,##0.00_ ;_ [$₹-4009]\ * \-#,##0.00_ ;_ [$₹-4009]\ * "-"??_ ;_ @_ </c:formatCode>
                <c:ptCount val="1"/>
                <c:pt idx="0">
                  <c:v>64330.454803626286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BA04-4ABF-9202-33E4D095E06E}"/>
            </c:ext>
          </c:extLst>
        </c:ser>
        <c:ser>
          <c:idx val="1"/>
          <c:order val="1"/>
          <c:tx>
            <c:strRef>
              <c:f>Dashboard!$B$7</c:f>
              <c:strCache>
                <c:ptCount val="1"/>
                <c:pt idx="0">
                  <c:v>DOGE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Dashboard!$I$7</c:f>
              <c:numCache>
                <c:formatCode>_ [$₹-4009]\ * #,##0.00_ ;_ [$₹-4009]\ * \-#,##0.00_ ;_ [$₹-4009]\ * "-"??_ ;_ @_ </c:formatCode>
                <c:ptCount val="1"/>
                <c:pt idx="0">
                  <c:v>-4108.4850165609823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BA04-4ABF-9202-33E4D095E06E}"/>
            </c:ext>
          </c:extLst>
        </c:ser>
        <c:ser>
          <c:idx val="2"/>
          <c:order val="2"/>
          <c:tx>
            <c:strRef>
              <c:f>Dashboard!$B$8</c:f>
              <c:strCache>
                <c:ptCount val="1"/>
                <c:pt idx="0">
                  <c:v>BTC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Dashboard!$I$8</c:f>
              <c:numCache>
                <c:formatCode>_ [$₹-4009]\ * #,##0.00_ ;_ [$₹-4009]\ * \-#,##0.00_ ;_ [$₹-4009]\ * "-"??_ ;_ @_ </c:formatCode>
                <c:ptCount val="1"/>
                <c:pt idx="0">
                  <c:v>1673786.0152369512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BA04-4ABF-9202-33E4D095E06E}"/>
            </c:ext>
          </c:extLst>
        </c:ser>
        <c:ser>
          <c:idx val="3"/>
          <c:order val="3"/>
          <c:tx>
            <c:strRef>
              <c:f>Dashboard!$B$9</c:f>
              <c:strCache>
                <c:ptCount val="1"/>
                <c:pt idx="0">
                  <c:v>ETH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Dashboard!$I$9</c:f>
              <c:numCache>
                <c:formatCode>_ [$₹-4009]\ * #,##0.00_ ;_ [$₹-4009]\ * \-#,##0.00_ ;_ [$₹-4009]\ * "-"??_ ;_ @_ </c:formatCode>
                <c:ptCount val="1"/>
                <c:pt idx="0">
                  <c:v>-53740.062369405059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BA04-4ABF-9202-33E4D095E06E}"/>
            </c:ext>
          </c:extLst>
        </c:ser>
        <c:ser>
          <c:idx val="4"/>
          <c:order val="4"/>
          <c:tx>
            <c:strRef>
              <c:f>Dashboard!$B$10</c:f>
              <c:strCache>
                <c:ptCount val="1"/>
                <c:pt idx="0">
                  <c:v>ONE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Dashboard!$I$10</c:f>
              <c:numCache>
                <c:formatCode>_ [$₹-4009]\ * #,##0.00_ ;_ [$₹-4009]\ * \-#,##0.00_ ;_ [$₹-4009]\ * "-"??_ ;_ @_ </c:formatCode>
                <c:ptCount val="1"/>
                <c:pt idx="0">
                  <c:v>966.97439623398532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BA04-4ABF-9202-33E4D095E06E}"/>
            </c:ext>
          </c:extLst>
        </c:ser>
        <c:ser>
          <c:idx val="5"/>
          <c:order val="5"/>
          <c:tx>
            <c:strRef>
              <c:f>Dashboard!$B$11</c:f>
              <c:strCache>
                <c:ptCount val="1"/>
                <c:pt idx="0">
                  <c:v>TRX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Dashboard!$I$11</c:f>
              <c:numCache>
                <c:formatCode>_ [$₹-4009]\ * #,##0.00_ ;_ [$₹-4009]\ * \-#,##0.00_ ;_ [$₹-4009]\ * "-"??_ ;_ @_ </c:formatCode>
                <c:ptCount val="1"/>
                <c:pt idx="0">
                  <c:v>-74.921373747658777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BA04-4ABF-9202-33E4D095E06E}"/>
            </c:ext>
          </c:extLst>
        </c:ser>
        <c:ser>
          <c:idx val="6"/>
          <c:order val="6"/>
          <c:tx>
            <c:strRef>
              <c:f>Dashboard!$B$12</c:f>
              <c:strCache>
                <c:ptCount val="1"/>
                <c:pt idx="0">
                  <c:v>XLM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Dashboard!$I$12</c:f>
              <c:numCache>
                <c:formatCode>_ [$₹-4009]\ * #,##0.00_ ;_ [$₹-4009]\ * \-#,##0.00_ ;_ [$₹-4009]\ * "-"??_ ;_ @_ </c:formatCode>
                <c:ptCount val="1"/>
                <c:pt idx="0">
                  <c:v>14.266523213163737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BA04-4ABF-9202-33E4D095E06E}"/>
            </c:ext>
          </c:extLst>
        </c:ser>
        <c:ser>
          <c:idx val="7"/>
          <c:order val="7"/>
          <c:tx>
            <c:strRef>
              <c:f>Dashboard!$B$13</c:f>
              <c:strCache>
                <c:ptCount val="1"/>
                <c:pt idx="0">
                  <c:v>XRP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Dashboard!$I$13</c:f>
              <c:numCache>
                <c:formatCode>_ [$₹-4009]\ * #,##0.00_ ;_ [$₹-4009]\ * \-#,##0.00_ ;_ [$₹-4009]\ * "-"??_ ;_ @_ </c:formatCode>
                <c:ptCount val="1"/>
                <c:pt idx="0">
                  <c:v>-99.354428108488833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BA04-4ABF-9202-33E4D095E06E}"/>
            </c:ext>
          </c:extLst>
        </c:ser>
        <c:ser>
          <c:idx val="8"/>
          <c:order val="8"/>
          <c:tx>
            <c:strRef>
              <c:f>Dashboard!$B$14</c:f>
              <c:strCache>
                <c:ptCount val="1"/>
                <c:pt idx="0">
                  <c:v>SOL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Dashboard!$I$14</c:f>
              <c:numCache>
                <c:formatCode>_ [$₹-4009]\ * #,##0.00_ ;_ [$₹-4009]\ * \-#,##0.00_ ;_ [$₹-4009]\ * "-"??_ ;_ @_ </c:formatCode>
                <c:ptCount val="1"/>
                <c:pt idx="0">
                  <c:v>22472.522228914051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BA04-4ABF-9202-33E4D095E0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99597792"/>
        <c:axId val="1076748944"/>
      </c:barChart>
      <c:catAx>
        <c:axId val="899597792"/>
        <c:scaling>
          <c:orientation val="minMax"/>
        </c:scaling>
        <c:delete val="1"/>
        <c:axPos val="b"/>
        <c:majorTickMark val="out"/>
        <c:minorTickMark val="none"/>
        <c:tickLblPos val="nextTo"/>
        <c:crossAx val="1076748944"/>
        <c:crosses val="autoZero"/>
        <c:auto val="1"/>
        <c:lblAlgn val="ctr"/>
        <c:lblOffset val="100"/>
        <c:noMultiLvlLbl val="0"/>
      </c:catAx>
      <c:valAx>
        <c:axId val="107674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 [$₹-4009]\ * #,##0.00_ ;_ [$₹-4009]\ * \-#,##0.00_ ;_ [$₹-4009]\ * &quot;-&quot;??_ ;_ @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9597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16</xdr:row>
      <xdr:rowOff>15240</xdr:rowOff>
    </xdr:from>
    <xdr:to>
      <xdr:col>2</xdr:col>
      <xdr:colOff>1005840</xdr:colOff>
      <xdr:row>18</xdr:row>
      <xdr:rowOff>15240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884C92E-D05E-4B60-A47F-1CD5C8A34C05}"/>
            </a:ext>
          </a:extLst>
        </xdr:cNvPr>
        <xdr:cNvSpPr/>
      </xdr:nvSpPr>
      <xdr:spPr>
        <a:xfrm>
          <a:off x="876300" y="2948940"/>
          <a:ext cx="1615440" cy="365760"/>
        </a:xfrm>
        <a:prstGeom prst="roundRect">
          <a:avLst/>
        </a:prstGeom>
        <a:solidFill>
          <a:schemeClr val="bg2">
            <a:lumMod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70" b="1">
              <a:solidFill>
                <a:sysClr val="windowText" lastClr="000000"/>
              </a:solidFill>
            </a:rPr>
            <a:t>Total Invested Value</a:t>
          </a:r>
        </a:p>
      </xdr:txBody>
    </xdr:sp>
    <xdr:clientData/>
  </xdr:twoCellAnchor>
  <xdr:twoCellAnchor>
    <xdr:from>
      <xdr:col>3</xdr:col>
      <xdr:colOff>198120</xdr:colOff>
      <xdr:row>16</xdr:row>
      <xdr:rowOff>0</xdr:rowOff>
    </xdr:from>
    <xdr:to>
      <xdr:col>4</xdr:col>
      <xdr:colOff>609600</xdr:colOff>
      <xdr:row>18</xdr:row>
      <xdr:rowOff>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BC7C951-7E0C-4176-BE2B-CFC09DF413CA}"/>
            </a:ext>
          </a:extLst>
        </xdr:cNvPr>
        <xdr:cNvSpPr/>
      </xdr:nvSpPr>
      <xdr:spPr>
        <a:xfrm>
          <a:off x="2842260" y="2933700"/>
          <a:ext cx="1615440" cy="365760"/>
        </a:xfrm>
        <a:prstGeom prst="roundRect">
          <a:avLst/>
        </a:prstGeom>
        <a:solidFill>
          <a:schemeClr val="bg2">
            <a:lumMod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70" b="1">
              <a:solidFill>
                <a:sysClr val="windowText" lastClr="000000"/>
              </a:solidFill>
            </a:rPr>
            <a:t>Total Current Value</a:t>
          </a:r>
        </a:p>
      </xdr:txBody>
    </xdr:sp>
    <xdr:clientData/>
  </xdr:twoCellAnchor>
  <xdr:twoCellAnchor>
    <xdr:from>
      <xdr:col>5</xdr:col>
      <xdr:colOff>106680</xdr:colOff>
      <xdr:row>15</xdr:row>
      <xdr:rowOff>175260</xdr:rowOff>
    </xdr:from>
    <xdr:to>
      <xdr:col>7</xdr:col>
      <xdr:colOff>167640</xdr:colOff>
      <xdr:row>17</xdr:row>
      <xdr:rowOff>175260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3B7CF871-74E1-4CE6-A328-B088DB8353BD}"/>
            </a:ext>
          </a:extLst>
        </xdr:cNvPr>
        <xdr:cNvSpPr/>
      </xdr:nvSpPr>
      <xdr:spPr>
        <a:xfrm>
          <a:off x="4838700" y="2926080"/>
          <a:ext cx="1615440" cy="365760"/>
        </a:xfrm>
        <a:prstGeom prst="roundRect">
          <a:avLst/>
        </a:prstGeom>
        <a:solidFill>
          <a:schemeClr val="bg2">
            <a:lumMod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70" b="1">
              <a:solidFill>
                <a:sysClr val="windowText" lastClr="000000"/>
              </a:solidFill>
            </a:rPr>
            <a:t>Profit/Loss</a:t>
          </a:r>
        </a:p>
      </xdr:txBody>
    </xdr:sp>
    <xdr:clientData/>
  </xdr:twoCellAnchor>
  <xdr:twoCellAnchor>
    <xdr:from>
      <xdr:col>7</xdr:col>
      <xdr:colOff>640080</xdr:colOff>
      <xdr:row>15</xdr:row>
      <xdr:rowOff>160020</xdr:rowOff>
    </xdr:from>
    <xdr:to>
      <xdr:col>9</xdr:col>
      <xdr:colOff>601980</xdr:colOff>
      <xdr:row>17</xdr:row>
      <xdr:rowOff>160020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C2D0448-F8DF-4E84-964F-A5EA0A062BE2}"/>
            </a:ext>
          </a:extLst>
        </xdr:cNvPr>
        <xdr:cNvSpPr/>
      </xdr:nvSpPr>
      <xdr:spPr>
        <a:xfrm>
          <a:off x="6926580" y="2910840"/>
          <a:ext cx="1615440" cy="365760"/>
        </a:xfrm>
        <a:prstGeom prst="roundRect">
          <a:avLst/>
        </a:prstGeom>
        <a:solidFill>
          <a:schemeClr val="bg2">
            <a:lumMod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70" b="1">
              <a:solidFill>
                <a:sysClr val="windowText" lastClr="000000"/>
              </a:solidFill>
            </a:rPr>
            <a:t>ROI</a:t>
          </a:r>
        </a:p>
      </xdr:txBody>
    </xdr:sp>
    <xdr:clientData/>
  </xdr:twoCellAnchor>
  <xdr:twoCellAnchor>
    <xdr:from>
      <xdr:col>1</xdr:col>
      <xdr:colOff>15240</xdr:colOff>
      <xdr:row>18</xdr:row>
      <xdr:rowOff>152400</xdr:rowOff>
    </xdr:from>
    <xdr:to>
      <xdr:col>2</xdr:col>
      <xdr:colOff>1021080</xdr:colOff>
      <xdr:row>22</xdr:row>
      <xdr:rowOff>99060</xdr:rowOff>
    </xdr:to>
    <xdr:sp macro="" textlink="M19">
      <xdr:nvSpPr>
        <xdr:cNvPr id="8" name="Rectangle: Rounded Corners 7">
          <a:extLst>
            <a:ext uri="{FF2B5EF4-FFF2-40B4-BE49-F238E27FC236}">
              <a16:creationId xmlns:a16="http://schemas.microsoft.com/office/drawing/2014/main" id="{66F8BDA7-213C-4AA7-9C59-B385282E977D}"/>
            </a:ext>
          </a:extLst>
        </xdr:cNvPr>
        <xdr:cNvSpPr/>
      </xdr:nvSpPr>
      <xdr:spPr>
        <a:xfrm>
          <a:off x="891540" y="3451860"/>
          <a:ext cx="1615440" cy="67818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F2C1949-6AC2-4D7E-BD47-702F0EE2113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₹ 586,298.63 </a:t>
          </a:fld>
          <a:endParaRPr lang="en-US" sz="2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190500</xdr:colOff>
      <xdr:row>18</xdr:row>
      <xdr:rowOff>152400</xdr:rowOff>
    </xdr:from>
    <xdr:to>
      <xdr:col>4</xdr:col>
      <xdr:colOff>601980</xdr:colOff>
      <xdr:row>22</xdr:row>
      <xdr:rowOff>99060</xdr:rowOff>
    </xdr:to>
    <xdr:sp macro="" textlink="M20">
      <xdr:nvSpPr>
        <xdr:cNvPr id="9" name="Rectangle: Rounded Corners 8">
          <a:extLst>
            <a:ext uri="{FF2B5EF4-FFF2-40B4-BE49-F238E27FC236}">
              <a16:creationId xmlns:a16="http://schemas.microsoft.com/office/drawing/2014/main" id="{B55B28E8-F643-4E1A-A5B0-07757DFCE972}"/>
            </a:ext>
          </a:extLst>
        </xdr:cNvPr>
        <xdr:cNvSpPr/>
      </xdr:nvSpPr>
      <xdr:spPr>
        <a:xfrm>
          <a:off x="2834640" y="3451860"/>
          <a:ext cx="1615440" cy="67818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AB9BE80-689B-48AF-9D24-0CED1097CC6B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₹ 2,289,846.04 </a:t>
          </a:fld>
          <a:endParaRPr lang="en-US" sz="2000" b="1"/>
        </a:p>
      </xdr:txBody>
    </xdr:sp>
    <xdr:clientData/>
  </xdr:twoCellAnchor>
  <xdr:twoCellAnchor>
    <xdr:from>
      <xdr:col>5</xdr:col>
      <xdr:colOff>99060</xdr:colOff>
      <xdr:row>18</xdr:row>
      <xdr:rowOff>152400</xdr:rowOff>
    </xdr:from>
    <xdr:to>
      <xdr:col>7</xdr:col>
      <xdr:colOff>160020</xdr:colOff>
      <xdr:row>22</xdr:row>
      <xdr:rowOff>99060</xdr:rowOff>
    </xdr:to>
    <xdr:sp macro="" textlink="M21">
      <xdr:nvSpPr>
        <xdr:cNvPr id="10" name="Rectangle: Rounded Corners 9">
          <a:extLst>
            <a:ext uri="{FF2B5EF4-FFF2-40B4-BE49-F238E27FC236}">
              <a16:creationId xmlns:a16="http://schemas.microsoft.com/office/drawing/2014/main" id="{9760ECE3-B1A1-4A5D-B63F-85388DE125E6}"/>
            </a:ext>
          </a:extLst>
        </xdr:cNvPr>
        <xdr:cNvSpPr/>
      </xdr:nvSpPr>
      <xdr:spPr>
        <a:xfrm>
          <a:off x="4831080" y="3451860"/>
          <a:ext cx="1615440" cy="67818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CC064B4-573D-4900-87BB-C752D0311FC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₹ 1,703,547.41 </a:t>
          </a:fld>
          <a:endParaRPr lang="en-US" sz="2000" b="1"/>
        </a:p>
      </xdr:txBody>
    </xdr:sp>
    <xdr:clientData/>
  </xdr:twoCellAnchor>
  <xdr:twoCellAnchor>
    <xdr:from>
      <xdr:col>7</xdr:col>
      <xdr:colOff>655320</xdr:colOff>
      <xdr:row>18</xdr:row>
      <xdr:rowOff>152400</xdr:rowOff>
    </xdr:from>
    <xdr:to>
      <xdr:col>10</xdr:col>
      <xdr:colOff>7620</xdr:colOff>
      <xdr:row>22</xdr:row>
      <xdr:rowOff>99060</xdr:rowOff>
    </xdr:to>
    <xdr:sp macro="" textlink="M22">
      <xdr:nvSpPr>
        <xdr:cNvPr id="11" name="Rectangle: Rounded Corners 10">
          <a:extLst>
            <a:ext uri="{FF2B5EF4-FFF2-40B4-BE49-F238E27FC236}">
              <a16:creationId xmlns:a16="http://schemas.microsoft.com/office/drawing/2014/main" id="{10BD7B67-1493-4551-8BA9-EB01CA639AEB}"/>
            </a:ext>
          </a:extLst>
        </xdr:cNvPr>
        <xdr:cNvSpPr/>
      </xdr:nvSpPr>
      <xdr:spPr>
        <a:xfrm>
          <a:off x="6941820" y="3451860"/>
          <a:ext cx="1615440" cy="67818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68BB22A-77D5-4FCF-8D68-A280C6FCF22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74%</a:t>
          </a:fld>
          <a:endParaRPr lang="en-US" sz="2000" b="1"/>
        </a:p>
      </xdr:txBody>
    </xdr:sp>
    <xdr:clientData/>
  </xdr:twoCellAnchor>
  <xdr:twoCellAnchor>
    <xdr:from>
      <xdr:col>1</xdr:col>
      <xdr:colOff>53340</xdr:colOff>
      <xdr:row>24</xdr:row>
      <xdr:rowOff>45720</xdr:rowOff>
    </xdr:from>
    <xdr:to>
      <xdr:col>4</xdr:col>
      <xdr:colOff>640080</xdr:colOff>
      <xdr:row>37</xdr:row>
      <xdr:rowOff>152400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490F0825-B585-45B0-A433-D97451DF42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129540</xdr:colOff>
      <xdr:row>24</xdr:row>
      <xdr:rowOff>30480</xdr:rowOff>
    </xdr:from>
    <xdr:to>
      <xdr:col>9</xdr:col>
      <xdr:colOff>601980</xdr:colOff>
      <xdr:row>37</xdr:row>
      <xdr:rowOff>137160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FE38086C-8DC1-45D0-9896-647341008D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60960</xdr:colOff>
      <xdr:row>38</xdr:row>
      <xdr:rowOff>68580</xdr:rowOff>
    </xdr:from>
    <xdr:to>
      <xdr:col>10</xdr:col>
      <xdr:colOff>7620</xdr:colOff>
      <xdr:row>39</xdr:row>
      <xdr:rowOff>152400</xdr:rowOff>
    </xdr:to>
    <xdr:sp macro="[0]!RefreshPrices" textlink="">
      <xdr:nvSpPr>
        <xdr:cNvPr id="3" name="Rectangle 2">
          <a:extLst>
            <a:ext uri="{FF2B5EF4-FFF2-40B4-BE49-F238E27FC236}">
              <a16:creationId xmlns:a16="http://schemas.microsoft.com/office/drawing/2014/main" id="{E8BAD468-93C9-48DE-94BB-BA179D3DC87B}"/>
            </a:ext>
          </a:extLst>
        </xdr:cNvPr>
        <xdr:cNvSpPr/>
      </xdr:nvSpPr>
      <xdr:spPr>
        <a:xfrm>
          <a:off x="937260" y="7025640"/>
          <a:ext cx="7620000" cy="266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Refresh Prices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F77E978-84A4-40B8-9FBC-BCE500E404D5}" autoFormatId="16" applyNumberFormats="0" applyBorderFormats="0" applyFontFormats="0" applyPatternFormats="0" applyAlignmentFormats="0" applyWidthHeightFormats="0">
  <queryTableRefresh nextId="4">
    <queryTableFields count="3">
      <queryTableField id="1" name="Column1.name" tableColumnId="1"/>
      <queryTableField id="2" name="Ticker Name" tableColumnId="2"/>
      <queryTableField id="3" name="Pric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E271B6AD-E9D5-4275-B4E5-2ACB886EC19A}" autoFormatId="16" applyNumberFormats="0" applyBorderFormats="0" applyFontFormats="0" applyPatternFormats="0" applyAlignmentFormats="0" applyWidthHeightFormats="0">
  <queryTableRefresh nextId="7">
    <queryTableFields count="6">
      <queryTableField id="1" name="Currency Name" tableColumnId="1"/>
      <queryTableField id="2" name="Code" tableColumnId="2"/>
      <queryTableField id="3" name="1 usd" tableColumnId="3"/>
      <queryTableField id="4" name="in usd" tableColumnId="4"/>
      <queryTableField id="5" name="Converter" tableColumnId="5"/>
      <queryTableField id="6" name="Chart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F2C5B80-790B-4586-B2D4-F2023BAB9696}" autoFormatId="16" applyNumberFormats="0" applyBorderFormats="0" applyFontFormats="0" applyPatternFormats="0" applyAlignmentFormats="0" applyWidthHeightFormats="0">
  <queryTableRefresh nextId="14">
    <queryTableFields count="9">
      <queryTableField id="10" name="Coin Name" tableColumnId="10"/>
      <queryTableField id="11" name="Ticker Name" tableColumnId="11"/>
      <queryTableField id="3" name="Price" tableColumnId="3"/>
      <queryTableField id="4" name="1h" tableColumnId="4"/>
      <queryTableField id="5" name="24h" tableColumnId="5"/>
      <queryTableField id="6" name="7d" tableColumnId="6"/>
      <queryTableField id="7" name="24h Volume" tableColumnId="7"/>
      <queryTableField id="8" name="Mkt Cap" tableColumnId="8"/>
      <queryTableField id="9" name="Last 7 Days" tableColumnId="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67F7D02-B3DC-48CA-82A3-18C5D474CDAE}" autoFormatId="16" applyNumberFormats="0" applyBorderFormats="0" applyFontFormats="0" applyPatternFormats="0" applyAlignmentFormats="0" applyWidthHeightFormats="0">
  <queryTableRefresh nextId="13">
    <queryTableFields count="9">
      <queryTableField id="1" name="#" tableColumnId="1"/>
      <queryTableField id="2" name="Crypto Name" tableColumnId="2"/>
      <queryTableField id="3" name="Ticker Name" tableColumnId="3"/>
      <queryTableField id="7" name="Price" tableColumnId="7"/>
      <queryTableField id="8" name="ATH" tableColumnId="8"/>
      <queryTableField id="9" name="24H Change 24H CHG" tableColumnId="9"/>
      <queryTableField id="10" name="2" tableColumnId="10"/>
      <queryTableField id="11" name="From ATH Fr. ATH" tableColumnId="11"/>
      <queryTableField id="12" name="To ATH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88CAF42-37D2-44B6-9C3C-542CA673F1B9}" name="CoinMarketCap" displayName="CoinMarketCap" ref="A1:C101" tableType="queryTable" totalsRowShown="0">
  <autoFilter ref="A1:C101" xr:uid="{B5C47CF9-43F0-4C29-90BE-E16A3A413B2E}"/>
  <tableColumns count="3">
    <tableColumn id="1" xr3:uid="{481DA543-B6C9-4C5C-B29C-77B13543628D}" uniqueName="1" name="Column1.name" queryTableFieldId="1"/>
    <tableColumn id="2" xr3:uid="{42423055-2629-4C02-9627-978057DA5003}" uniqueName="2" name="Ticker Name" queryTableFieldId="2"/>
    <tableColumn id="3" xr3:uid="{15BCC6CC-D544-4741-ACD1-FCB65188E93D}" uniqueName="3" name="Price" queryTableField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D6FD7D-E468-437C-9302-3F6453F193F6}" name="Currency" displayName="Currency" ref="A1:F150" tableType="queryTable" totalsRowShown="0">
  <autoFilter ref="A1:F150" xr:uid="{47B42986-823D-4545-9F74-0264F1FDCFF5}">
    <filterColumn colId="0">
      <filters>
        <filter val="Indian Rupee"/>
      </filters>
    </filterColumn>
  </autoFilter>
  <tableColumns count="6">
    <tableColumn id="1" xr3:uid="{4CB95580-8BED-4151-B497-038C157BC865}" uniqueName="1" name="Currency Name" queryTableFieldId="1" dataDxfId="9"/>
    <tableColumn id="2" xr3:uid="{0ECAC75C-B177-4546-8602-99C9A2932138}" uniqueName="2" name="Code" queryTableFieldId="2" dataDxfId="8"/>
    <tableColumn id="3" xr3:uid="{89536E8B-A5BF-4708-BE86-8081AC2E7F8C}" uniqueName="3" name="1 usd" queryTableFieldId="3"/>
    <tableColumn id="4" xr3:uid="{EEEA53A4-3B28-444D-A00F-38135C5CE5F4}" uniqueName="4" name="in usd" queryTableFieldId="4"/>
    <tableColumn id="5" xr3:uid="{10B33E1E-2491-4BD9-9BFE-8988641CDB53}" uniqueName="5" name="Converter" queryTableFieldId="5" dataDxfId="7"/>
    <tableColumn id="6" xr3:uid="{F18B1DCD-9AA6-45B0-A481-368DF5DDB632}" uniqueName="6" name="Chart" queryTableFieldId="6" dataDxf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2F44BD5-7E66-465D-8D15-58D1C19B60DE}" name="CoinGecko" displayName="CoinGecko" ref="A1:I101" tableType="queryTable" totalsRowShown="0">
  <autoFilter ref="A1:I101" xr:uid="{D08973B0-52E6-4653-84D8-0DAC2F9547D5}"/>
  <tableColumns count="9">
    <tableColumn id="10" xr3:uid="{CD308380-F165-48FB-8D1E-E2BF547D0C24}" uniqueName="10" name="Coin Name" queryTableFieldId="10" dataDxfId="5"/>
    <tableColumn id="11" xr3:uid="{547553C1-286C-4240-B8B6-F46468D7D423}" uniqueName="11" name="Ticker Name" queryTableFieldId="11" dataDxfId="4"/>
    <tableColumn id="3" xr3:uid="{192F3315-D3FB-4856-A7E9-D5D078BF1964}" uniqueName="3" name="Price" queryTableFieldId="3"/>
    <tableColumn id="4" xr3:uid="{F86FA337-9F66-4E7B-875F-BBECF5F888E7}" uniqueName="4" name="1h" queryTableFieldId="4"/>
    <tableColumn id="5" xr3:uid="{2D42386C-233D-42AA-BB96-791CB19A1CE0}" uniqueName="5" name="24h" queryTableFieldId="5"/>
    <tableColumn id="6" xr3:uid="{4C30B40A-C993-47CD-994D-EA7BE3545AC5}" uniqueName="6" name="7d" queryTableFieldId="6"/>
    <tableColumn id="7" xr3:uid="{55BD737C-D8D0-4B9C-A85A-4AB51428294C}" uniqueName="7" name="24h Volume" queryTableFieldId="7"/>
    <tableColumn id="8" xr3:uid="{10548408-6C62-4BAA-8D71-DF915C61D18A}" uniqueName="8" name="Mkt Cap" queryTableFieldId="8"/>
    <tableColumn id="9" xr3:uid="{922C1CD2-5A2D-448D-9D59-384784B8480C}" uniqueName="9" name="Last 7 Days" queryTableFieldId="9" dataDxfId="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AE50D1A-64F5-4556-896F-560053763A2D}" name="ATHCoinIndex" displayName="ATHCoinIndex" ref="A1:I101" tableType="queryTable" totalsRowShown="0">
  <autoFilter ref="A1:I101" xr:uid="{9C08A4CE-C40D-4452-85EC-AE3C69FBE40E}"/>
  <tableColumns count="9">
    <tableColumn id="1" xr3:uid="{03AB3C1C-C1E6-4A14-A98C-CE12F3CAA646}" uniqueName="1" name="#" queryTableFieldId="1"/>
    <tableColumn id="2" xr3:uid="{0EBAED5F-683E-41E6-8F4E-3A47D54562EF}" uniqueName="2" name="Crypto Name" queryTableFieldId="2" dataDxfId="2"/>
    <tableColumn id="3" xr3:uid="{711A5380-669B-4531-A6F5-0EE05BAE5797}" uniqueName="3" name="Ticker Name" queryTableFieldId="3" dataDxfId="1"/>
    <tableColumn id="7" xr3:uid="{6F92EEE6-1A68-44CF-9C73-EB9AD84500A2}" uniqueName="7" name="Price" queryTableFieldId="7"/>
    <tableColumn id="8" xr3:uid="{A5D7A87F-3AA2-41BF-9B5D-0F33D526E987}" uniqueName="8" name="ATH" queryTableFieldId="8"/>
    <tableColumn id="9" xr3:uid="{FAF3D69B-94A3-4189-AD01-0774D87D696D}" uniqueName="9" name="24H Change 24H CHG" queryTableFieldId="9"/>
    <tableColumn id="10" xr3:uid="{8AF97508-DA4B-4B92-9871-8050295B99BC}" uniqueName="10" name="2" queryTableFieldId="10" dataDxfId="0"/>
    <tableColumn id="11" xr3:uid="{E8283F2B-1FFC-4C1F-A53E-B694C9902E02}" uniqueName="11" name="From ATH Fr. ATH" queryTableFieldId="11"/>
    <tableColumn id="12" xr3:uid="{80B51D12-06EB-421E-99A2-35CC869AF1A3}" uniqueName="12" name="To ATH" queryTableFieldId="1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P22"/>
  <sheetViews>
    <sheetView showGridLines="0" tabSelected="1" topLeftCell="A13" workbookViewId="0">
      <selection activeCell="P34" sqref="P34"/>
    </sheetView>
  </sheetViews>
  <sheetFormatPr defaultRowHeight="14.4" x14ac:dyDescent="0.3"/>
  <cols>
    <col min="1" max="1" width="12.77734375" customWidth="1"/>
    <col min="3" max="3" width="16.88671875" customWidth="1"/>
    <col min="4" max="4" width="17.5546875" customWidth="1"/>
    <col min="5" max="5" width="12.88671875" customWidth="1"/>
    <col min="6" max="6" width="13.77734375" customWidth="1"/>
    <col min="8" max="8" width="14.6640625" customWidth="1"/>
    <col min="9" max="9" width="13.88671875" bestFit="1" customWidth="1"/>
    <col min="12" max="12" width="0" hidden="1" customWidth="1"/>
    <col min="13" max="13" width="14.6640625" hidden="1" customWidth="1"/>
    <col min="17" max="17" width="12.77734375" customWidth="1"/>
    <col min="18" max="18" width="17" customWidth="1"/>
  </cols>
  <sheetData>
    <row r="2" spans="2:16" x14ac:dyDescent="0.3">
      <c r="B2" s="30" t="s">
        <v>970</v>
      </c>
      <c r="C2" s="30"/>
      <c r="D2" s="30"/>
      <c r="E2" s="30"/>
      <c r="F2" s="30"/>
      <c r="G2" s="30"/>
      <c r="H2" s="30"/>
      <c r="I2" s="30"/>
      <c r="J2" s="30"/>
    </row>
    <row r="3" spans="2:16" x14ac:dyDescent="0.3">
      <c r="B3" s="30"/>
      <c r="C3" s="30"/>
      <c r="D3" s="30"/>
      <c r="E3" s="30"/>
      <c r="F3" s="30"/>
      <c r="G3" s="30"/>
      <c r="H3" s="30"/>
      <c r="I3" s="30"/>
      <c r="J3" s="30"/>
    </row>
    <row r="4" spans="2:16" ht="15" thickBot="1" x14ac:dyDescent="0.35"/>
    <row r="5" spans="2:16" x14ac:dyDescent="0.3">
      <c r="B5" s="8" t="s">
        <v>202</v>
      </c>
      <c r="C5" s="9" t="s">
        <v>664</v>
      </c>
      <c r="D5" s="9" t="s">
        <v>663</v>
      </c>
      <c r="E5" s="9" t="s">
        <v>656</v>
      </c>
      <c r="F5" s="9" t="s">
        <v>657</v>
      </c>
      <c r="G5" s="9" t="s">
        <v>665</v>
      </c>
      <c r="H5" s="9" t="s">
        <v>666</v>
      </c>
      <c r="I5" s="9" t="s">
        <v>667</v>
      </c>
      <c r="J5" s="10" t="s">
        <v>668</v>
      </c>
      <c r="K5" s="2"/>
      <c r="L5" s="2"/>
      <c r="M5" s="2"/>
      <c r="N5" s="2"/>
      <c r="O5" s="2"/>
      <c r="P5" s="2"/>
    </row>
    <row r="6" spans="2:16" x14ac:dyDescent="0.3">
      <c r="B6" s="18" t="s">
        <v>44</v>
      </c>
      <c r="C6" s="19">
        <f>VLOOKUP(B6,CoinMarketCap[[Ticker Name]:[Price]],2,FALSE)</f>
        <v>2.1521557994163301</v>
      </c>
      <c r="D6" s="20">
        <f>C6*'Currency'!C62</f>
        <v>157.40341960484821</v>
      </c>
      <c r="E6" s="21">
        <f>SUMPRODUCT((Passbook!$C$2:$C$999=Dashboard!B6)*Passbook!$F$2:$F$999)</f>
        <v>157293.56</v>
      </c>
      <c r="F6" s="21">
        <f>SUMPRODUCT((Passbook!$C$2:$C$999=Dashboard!B6)*Passbook!$D$2:$D$999)</f>
        <v>1408</v>
      </c>
      <c r="G6" s="21">
        <f>E6/F6</f>
        <v>111.71417613636363</v>
      </c>
      <c r="H6" s="20">
        <f>D6*F6</f>
        <v>221624.01480362628</v>
      </c>
      <c r="I6" s="11">
        <f>H6-E6</f>
        <v>64330.454803626286</v>
      </c>
      <c r="J6" s="12">
        <f>(H6-E6)/E6</f>
        <v>0.40898339896195551</v>
      </c>
    </row>
    <row r="7" spans="2:16" x14ac:dyDescent="0.3">
      <c r="B7" s="22" t="s">
        <v>20</v>
      </c>
      <c r="C7" s="23">
        <f>VLOOKUP(B7,CoinMarketCap[[Ticker Name]:[Price]],2,FALSE)</f>
        <v>0.49571290550315</v>
      </c>
      <c r="D7" s="24">
        <f>C7*'Currency'!C62</f>
        <v>36.255231377585154</v>
      </c>
      <c r="E7" s="25">
        <f>SUMPRODUCT((Passbook!$C$2:$C$999=Dashboard!B7)*Passbook!$F$2:$F$999)</f>
        <v>26042.9</v>
      </c>
      <c r="F7" s="25">
        <f>SUMPRODUCT((Passbook!$C$2:$C$999=Dashboard!B7)*Passbook!$D$2:$D$999)</f>
        <v>605</v>
      </c>
      <c r="G7" s="25">
        <f t="shared" ref="G7:G14" si="0">E7/F7</f>
        <v>43.046115702479341</v>
      </c>
      <c r="H7" s="24">
        <f t="shared" ref="H7:H14" si="1">D7*F7</f>
        <v>21934.414983439019</v>
      </c>
      <c r="I7" s="13">
        <f t="shared" ref="I7:I14" si="2">H7-E7</f>
        <v>-4108.4850165609823</v>
      </c>
      <c r="J7" s="14">
        <f t="shared" ref="J7:J14" si="3">(H7-E7)/E7</f>
        <v>-0.15775835320033416</v>
      </c>
    </row>
    <row r="8" spans="2:16" x14ac:dyDescent="0.3">
      <c r="B8" s="22" t="s">
        <v>10</v>
      </c>
      <c r="C8" s="23">
        <f>VLOOKUP(B8,CoinMarketCap[[Ticker Name]:[Price]],2,FALSE)</f>
        <v>45404.971846336295</v>
      </c>
      <c r="D8" s="24">
        <f>C8*'Currency'!C62</f>
        <v>3320808.7618997879</v>
      </c>
      <c r="E8" s="25">
        <f>SUMPRODUCT((Passbook!$C$2:$C$999=Dashboard!B8)*Passbook!$F$2:$F$999)</f>
        <v>-910000</v>
      </c>
      <c r="F8" s="25">
        <f>SUMPRODUCT((Passbook!$C$2:$C$999=Dashboard!B8)*Passbook!$D$2:$D$999)</f>
        <v>0.22999999999999998</v>
      </c>
      <c r="G8" s="25">
        <f t="shared" si="0"/>
        <v>-3956521.739130435</v>
      </c>
      <c r="H8" s="24">
        <f t="shared" si="1"/>
        <v>763786.01523695118</v>
      </c>
      <c r="I8" s="13">
        <f t="shared" si="2"/>
        <v>1673786.0152369512</v>
      </c>
      <c r="J8" s="14">
        <f t="shared" si="3"/>
        <v>-1.8393252914691771</v>
      </c>
    </row>
    <row r="9" spans="2:16" x14ac:dyDescent="0.3">
      <c r="B9" s="22" t="s">
        <v>13</v>
      </c>
      <c r="C9" s="23">
        <f>VLOOKUP(B9,CoinMarketCap[[Ticker Name]:[Price]],2,FALSE)</f>
        <v>3524.9716025773296</v>
      </c>
      <c r="D9" s="24">
        <f>C9*'Currency'!C62</f>
        <v>257807.8150318524</v>
      </c>
      <c r="E9" s="25">
        <f>SUMPRODUCT((Passbook!$C$2:$C$999=Dashboard!B9)*Passbook!$F$2:$F$999)</f>
        <v>1110752.1039999998</v>
      </c>
      <c r="F9" s="25">
        <f>SUMPRODUCT((Passbook!$C$2:$C$999=Dashboard!B9)*Passbook!$D$2:$D$999)</f>
        <v>4.0999999999999996</v>
      </c>
      <c r="G9" s="25">
        <f t="shared" si="0"/>
        <v>270915.14731707313</v>
      </c>
      <c r="H9" s="24">
        <f t="shared" si="1"/>
        <v>1057012.0416305948</v>
      </c>
      <c r="I9" s="13">
        <f t="shared" si="2"/>
        <v>-53740.062369405059</v>
      </c>
      <c r="J9" s="14">
        <f t="shared" si="3"/>
        <v>-4.8381688565682937E-2</v>
      </c>
    </row>
    <row r="10" spans="2:16" x14ac:dyDescent="0.3">
      <c r="B10" s="22" t="s">
        <v>193</v>
      </c>
      <c r="C10" s="23">
        <f>VLOOKUP(B10,CoinMarketCap[[Ticker Name]:[Price]],2,FALSE)</f>
        <v>0.16212512852267999</v>
      </c>
      <c r="D10" s="24">
        <f>C10*'Currency'!C62</f>
        <v>11.857435990584962</v>
      </c>
      <c r="E10" s="25">
        <f>SUMPRODUCT((Passbook!$C$2:$C$999=Dashboard!B10)*Passbook!$F$2:$F$999)</f>
        <v>3776</v>
      </c>
      <c r="F10" s="25">
        <f>SUMPRODUCT((Passbook!$C$2:$C$999=Dashboard!B10)*Passbook!$D$2:$D$999)</f>
        <v>400</v>
      </c>
      <c r="G10" s="25">
        <f t="shared" si="0"/>
        <v>9.44</v>
      </c>
      <c r="H10" s="24">
        <f t="shared" si="1"/>
        <v>4742.9743962339853</v>
      </c>
      <c r="I10" s="13">
        <f t="shared" si="2"/>
        <v>966.97439623398532</v>
      </c>
      <c r="J10" s="14">
        <f t="shared" si="3"/>
        <v>0.25608432103654272</v>
      </c>
    </row>
    <row r="11" spans="2:16" x14ac:dyDescent="0.3">
      <c r="B11" s="22" t="s">
        <v>54</v>
      </c>
      <c r="C11" s="23">
        <f>VLOOKUP(B11,CoinMarketCap[[Ticker Name]:[Price]],2,FALSE)</f>
        <v>0.11802668523994</v>
      </c>
      <c r="D11" s="24">
        <f>C11*'Currency'!C62</f>
        <v>8.632183537283856</v>
      </c>
      <c r="E11" s="25">
        <f>SUMPRODUCT((Passbook!$C$2:$C$999=Dashboard!B11)*Passbook!$F$2:$F$999)</f>
        <v>480.63400000000001</v>
      </c>
      <c r="F11" s="25">
        <f>SUMPRODUCT((Passbook!$C$2:$C$999=Dashboard!B11)*Passbook!$D$2:$D$999)</f>
        <v>47</v>
      </c>
      <c r="G11" s="25">
        <f t="shared" si="0"/>
        <v>10.226255319148937</v>
      </c>
      <c r="H11" s="24">
        <f t="shared" si="1"/>
        <v>405.71262625234124</v>
      </c>
      <c r="I11" s="13">
        <f t="shared" si="2"/>
        <v>-74.921373747658777</v>
      </c>
      <c r="J11" s="14">
        <f t="shared" si="3"/>
        <v>-0.15588030340687253</v>
      </c>
    </row>
    <row r="12" spans="2:16" x14ac:dyDescent="0.3">
      <c r="B12" s="22" t="s">
        <v>37</v>
      </c>
      <c r="C12" s="23">
        <f>VLOOKUP(B12,CoinMarketCap[[Ticker Name]:[Price]],2,FALSE)</f>
        <v>0.66118906880730999</v>
      </c>
      <c r="D12" s="24">
        <f>C12*'Currency'!C62</f>
        <v>48.357753868860627</v>
      </c>
      <c r="E12" s="25">
        <f>SUMPRODUCT((Passbook!$C$2:$C$999=Dashboard!B12)*Passbook!$F$2:$F$999)</f>
        <v>275.88</v>
      </c>
      <c r="F12" s="25">
        <f>SUMPRODUCT((Passbook!$C$2:$C$999=Dashboard!B12)*Passbook!$D$2:$D$999)</f>
        <v>6</v>
      </c>
      <c r="G12" s="25">
        <f t="shared" si="0"/>
        <v>45.98</v>
      </c>
      <c r="H12" s="24">
        <f t="shared" si="1"/>
        <v>290.14652321316373</v>
      </c>
      <c r="I12" s="13">
        <f t="shared" si="2"/>
        <v>14.266523213163737</v>
      </c>
      <c r="J12" s="14">
        <f t="shared" si="3"/>
        <v>5.1712785316672963E-2</v>
      </c>
    </row>
    <row r="13" spans="2:16" x14ac:dyDescent="0.3">
      <c r="B13" s="22" t="s">
        <v>22</v>
      </c>
      <c r="C13" s="23">
        <f>VLOOKUP(B13,CoinMarketCap[[Ticker Name]:[Price]],2,FALSE)</f>
        <v>1.53268051785672</v>
      </c>
      <c r="D13" s="24">
        <f>C13*'Currency'!C62</f>
        <v>112.09651027021589</v>
      </c>
      <c r="E13" s="25">
        <f>SUMPRODUCT((Passbook!$C$2:$C$999=Dashboard!B13)*Passbook!$F$2:$F$999)</f>
        <v>884.03000000000009</v>
      </c>
      <c r="F13" s="25">
        <f>SUMPRODUCT((Passbook!$C$2:$C$999=Dashboard!B13)*Passbook!$D$2:$D$999)</f>
        <v>7</v>
      </c>
      <c r="G13" s="25">
        <f t="shared" si="0"/>
        <v>126.29</v>
      </c>
      <c r="H13" s="24">
        <f t="shared" si="1"/>
        <v>784.67557189151125</v>
      </c>
      <c r="I13" s="13">
        <f t="shared" si="2"/>
        <v>-99.354428108488833</v>
      </c>
      <c r="J13" s="14">
        <f t="shared" si="3"/>
        <v>-0.11238807292567993</v>
      </c>
    </row>
    <row r="14" spans="2:16" x14ac:dyDescent="0.3">
      <c r="B14" s="26" t="s">
        <v>42</v>
      </c>
      <c r="C14" s="27">
        <f>VLOOKUP(B14,CoinMarketCap[[Ticker Name]:[Price]],2,FALSE)</f>
        <v>53.535627205409803</v>
      </c>
      <c r="D14" s="28">
        <f>C14*'Currency'!C62</f>
        <v>3915.4650398020372</v>
      </c>
      <c r="E14" s="29">
        <f>SUMPRODUCT((Passbook!$C$2:$C$999=Dashboard!B14)*Passbook!$F$2:$F$999)</f>
        <v>196793.52000000002</v>
      </c>
      <c r="F14" s="29">
        <f>SUMPRODUCT((Passbook!$C$2:$C$999=Dashboard!B14)*Passbook!$D$2:$D$999)</f>
        <v>56</v>
      </c>
      <c r="G14" s="29">
        <f t="shared" si="0"/>
        <v>3514.1700000000005</v>
      </c>
      <c r="H14" s="28">
        <f t="shared" si="1"/>
        <v>219266.04222891407</v>
      </c>
      <c r="I14" s="15">
        <f t="shared" si="2"/>
        <v>22472.522228914051</v>
      </c>
      <c r="J14" s="16">
        <f t="shared" si="3"/>
        <v>0.11419340549889066</v>
      </c>
    </row>
    <row r="15" spans="2:16" x14ac:dyDescent="0.3">
      <c r="B15" s="4"/>
      <c r="C15" s="4"/>
      <c r="D15" s="4"/>
      <c r="E15" s="4"/>
      <c r="F15" s="4"/>
      <c r="G15" s="4"/>
      <c r="H15" s="4"/>
      <c r="I15" s="17"/>
    </row>
    <row r="17" spans="2:13" x14ac:dyDescent="0.3">
      <c r="B17" s="31"/>
      <c r="C17" s="31"/>
    </row>
    <row r="18" spans="2:13" x14ac:dyDescent="0.3">
      <c r="B18" s="31"/>
      <c r="C18" s="31"/>
    </row>
    <row r="19" spans="2:13" x14ac:dyDescent="0.3">
      <c r="L19" s="2" t="s">
        <v>669</v>
      </c>
      <c r="M19" s="6">
        <f>SUM(E6:E103)</f>
        <v>586298.62799999979</v>
      </c>
    </row>
    <row r="20" spans="2:13" x14ac:dyDescent="0.3">
      <c r="L20" s="2" t="s">
        <v>670</v>
      </c>
      <c r="M20" s="6">
        <f>SUM(H6:H103)</f>
        <v>2289846.0380011164</v>
      </c>
    </row>
    <row r="21" spans="2:13" x14ac:dyDescent="0.3">
      <c r="L21" s="2" t="s">
        <v>667</v>
      </c>
      <c r="M21" s="6">
        <f>M20-M19</f>
        <v>1703547.4100011166</v>
      </c>
    </row>
    <row r="22" spans="2:13" x14ac:dyDescent="0.3">
      <c r="L22" s="2" t="s">
        <v>668</v>
      </c>
      <c r="M22" s="7">
        <f>(M20-M19)/M20</f>
        <v>0.7439571839022856</v>
      </c>
    </row>
  </sheetData>
  <mergeCells count="2">
    <mergeCell ref="B2:J3"/>
    <mergeCell ref="B17:C18"/>
  </mergeCells>
  <conditionalFormatting sqref="I6:J14">
    <cfRule type="cellIs" dxfId="22" priority="12" operator="greaterThan">
      <formula>240.7079355</formula>
    </cfRule>
    <cfRule type="cellIs" dxfId="21" priority="13" operator="greaterThan">
      <formula>240.7079355</formula>
    </cfRule>
  </conditionalFormatting>
  <conditionalFormatting sqref="I7">
    <cfRule type="cellIs" dxfId="20" priority="11" operator="greaterThan">
      <formula>" ₹ -180.87 "</formula>
    </cfRule>
  </conditionalFormatting>
  <conditionalFormatting sqref="J6">
    <cfRule type="cellIs" dxfId="19" priority="10" operator="greaterThan">
      <formula>0.2</formula>
    </cfRule>
  </conditionalFormatting>
  <conditionalFormatting sqref="J7:J14">
    <cfRule type="cellIs" dxfId="18" priority="7" operator="equal">
      <formula>0</formula>
    </cfRule>
    <cfRule type="cellIs" dxfId="17" priority="8" operator="lessThan">
      <formula>0</formula>
    </cfRule>
    <cfRule type="cellIs" dxfId="16" priority="9" operator="greaterThan">
      <formula>-0.03</formula>
    </cfRule>
  </conditionalFormatting>
  <conditionalFormatting sqref="I6:I14 I392:I1048576">
    <cfRule type="cellIs" dxfId="15" priority="4" operator="equal">
      <formula>0</formula>
    </cfRule>
    <cfRule type="cellIs" dxfId="14" priority="5" operator="lessThan">
      <formula>0</formula>
    </cfRule>
    <cfRule type="cellIs" dxfId="13" priority="6" operator="greaterThan">
      <formula>0</formula>
    </cfRule>
  </conditionalFormatting>
  <conditionalFormatting sqref="J6:J14 J392:J1048576">
    <cfRule type="cellIs" dxfId="12" priority="1" operator="equal">
      <formula>0</formula>
    </cfRule>
    <cfRule type="cellIs" dxfId="11" priority="2" operator="lessThan">
      <formula>0</formula>
    </cfRule>
    <cfRule type="cellIs" dxfId="10" priority="3" operator="greaterThan">
      <formula>0</formula>
    </cfRule>
  </conditionalFormatting>
  <pageMargins left="0.7" right="0.7" top="0.75" bottom="0.75" header="0.3" footer="0.3"/>
  <pageSetup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B9E7-FF54-4376-8E29-4792FB8E4CC3}">
  <dimension ref="A1:N66"/>
  <sheetViews>
    <sheetView workbookViewId="0">
      <selection activeCell="I20" sqref="I20"/>
    </sheetView>
  </sheetViews>
  <sheetFormatPr defaultRowHeight="14.4" x14ac:dyDescent="0.3"/>
  <cols>
    <col min="4" max="4" width="19.5546875" customWidth="1"/>
    <col min="6" max="6" width="10.33203125" bestFit="1" customWidth="1"/>
    <col min="10" max="10" width="8.88671875" customWidth="1"/>
  </cols>
  <sheetData>
    <row r="1" spans="1:14" x14ac:dyDescent="0.3">
      <c r="A1" s="3" t="s">
        <v>658</v>
      </c>
      <c r="B1" s="3" t="s">
        <v>659</v>
      </c>
      <c r="C1" s="3" t="s">
        <v>16</v>
      </c>
      <c r="D1" s="3" t="s">
        <v>660</v>
      </c>
      <c r="E1" s="3" t="s">
        <v>661</v>
      </c>
      <c r="F1" s="3"/>
      <c r="G1" s="3"/>
      <c r="H1" s="3"/>
      <c r="I1" s="3"/>
      <c r="J1" s="3"/>
      <c r="K1" s="3"/>
      <c r="L1" s="3"/>
      <c r="M1" s="2"/>
      <c r="N1" s="2"/>
    </row>
    <row r="2" spans="1:14" x14ac:dyDescent="0.3">
      <c r="A2" s="4">
        <v>1</v>
      </c>
      <c r="B2" s="5">
        <v>44352</v>
      </c>
      <c r="C2" s="4" t="s">
        <v>20</v>
      </c>
      <c r="D2" s="4">
        <v>5</v>
      </c>
      <c r="E2" s="4">
        <v>48.58</v>
      </c>
      <c r="F2" s="4">
        <f>D2*E2</f>
        <v>242.89999999999998</v>
      </c>
      <c r="G2" s="4"/>
      <c r="H2" s="4"/>
      <c r="I2" s="4"/>
      <c r="J2" s="4"/>
      <c r="K2" s="4"/>
      <c r="L2" s="4"/>
    </row>
    <row r="3" spans="1:14" x14ac:dyDescent="0.3">
      <c r="A3" s="4">
        <v>2</v>
      </c>
      <c r="B3" s="5">
        <v>44352</v>
      </c>
      <c r="C3" s="4" t="s">
        <v>37</v>
      </c>
      <c r="D3" s="4">
        <v>6</v>
      </c>
      <c r="E3" s="4">
        <v>45.98</v>
      </c>
      <c r="F3" s="4">
        <f t="shared" ref="F3:F19" si="0">D3*E3</f>
        <v>275.88</v>
      </c>
      <c r="G3" s="4"/>
      <c r="H3" s="4"/>
      <c r="I3" s="4"/>
      <c r="J3" s="4"/>
      <c r="K3" s="4"/>
      <c r="L3" s="4"/>
    </row>
    <row r="4" spans="1:14" x14ac:dyDescent="0.3">
      <c r="A4" s="4">
        <v>3</v>
      </c>
      <c r="B4" s="5">
        <v>44382</v>
      </c>
      <c r="C4" s="4" t="s">
        <v>54</v>
      </c>
      <c r="D4" s="4">
        <v>7</v>
      </c>
      <c r="E4" s="4">
        <v>11.59</v>
      </c>
      <c r="F4" s="4">
        <f t="shared" si="0"/>
        <v>81.13</v>
      </c>
      <c r="G4" s="4"/>
      <c r="H4" s="4"/>
      <c r="I4" s="4"/>
      <c r="J4" s="4"/>
      <c r="K4" s="4"/>
      <c r="L4" s="4"/>
    </row>
    <row r="5" spans="1:14" x14ac:dyDescent="0.3">
      <c r="A5" s="4">
        <v>4</v>
      </c>
      <c r="B5" s="5">
        <v>44382</v>
      </c>
      <c r="C5" s="4" t="s">
        <v>44</v>
      </c>
      <c r="D5" s="4">
        <v>8</v>
      </c>
      <c r="E5" s="4">
        <v>59.82</v>
      </c>
      <c r="F5" s="4">
        <f t="shared" si="0"/>
        <v>478.56</v>
      </c>
      <c r="G5" s="4"/>
      <c r="H5" s="4"/>
      <c r="I5" s="4"/>
      <c r="J5" s="4"/>
      <c r="K5" s="4"/>
      <c r="L5" s="4"/>
    </row>
    <row r="6" spans="1:14" x14ac:dyDescent="0.3">
      <c r="A6" s="4">
        <v>5</v>
      </c>
      <c r="B6" s="5">
        <v>44382</v>
      </c>
      <c r="C6" s="4" t="s">
        <v>22</v>
      </c>
      <c r="D6" s="4">
        <v>7</v>
      </c>
      <c r="E6" s="4">
        <v>126.29</v>
      </c>
      <c r="F6" s="4">
        <f t="shared" si="0"/>
        <v>884.03000000000009</v>
      </c>
      <c r="G6" s="4"/>
      <c r="H6" s="4"/>
      <c r="I6" s="4"/>
      <c r="J6" s="4"/>
      <c r="K6" s="4"/>
      <c r="L6" s="4"/>
    </row>
    <row r="7" spans="1:14" x14ac:dyDescent="0.3">
      <c r="A7" s="4">
        <v>6</v>
      </c>
      <c r="B7" s="5">
        <v>44382</v>
      </c>
      <c r="C7" s="4" t="s">
        <v>13</v>
      </c>
      <c r="D7" s="4">
        <v>4</v>
      </c>
      <c r="E7" s="4">
        <v>270550.96999999997</v>
      </c>
      <c r="F7" s="4">
        <f t="shared" si="0"/>
        <v>1082203.8799999999</v>
      </c>
      <c r="G7" s="4"/>
      <c r="H7" s="4"/>
      <c r="I7" s="4"/>
      <c r="J7" s="4"/>
      <c r="K7" s="4"/>
      <c r="L7" s="4"/>
    </row>
    <row r="8" spans="1:14" x14ac:dyDescent="0.3">
      <c r="A8" s="4">
        <v>7</v>
      </c>
      <c r="B8" s="5">
        <v>44413</v>
      </c>
      <c r="C8" s="4" t="s">
        <v>10</v>
      </c>
      <c r="D8" s="4">
        <v>1.23</v>
      </c>
      <c r="E8" s="4">
        <v>3000000</v>
      </c>
      <c r="F8" s="4">
        <f t="shared" si="0"/>
        <v>3690000</v>
      </c>
      <c r="G8" s="4"/>
      <c r="H8" s="4"/>
      <c r="I8" s="4"/>
      <c r="J8" s="4"/>
      <c r="K8" s="4"/>
      <c r="L8" s="4"/>
    </row>
    <row r="9" spans="1:14" x14ac:dyDescent="0.3">
      <c r="A9" s="4">
        <v>8</v>
      </c>
      <c r="B9" s="5">
        <v>44413</v>
      </c>
      <c r="C9" s="4" t="s">
        <v>13</v>
      </c>
      <c r="D9" s="4">
        <v>0.1</v>
      </c>
      <c r="E9" s="4">
        <v>285482.23999999999</v>
      </c>
      <c r="F9" s="4">
        <f t="shared" si="0"/>
        <v>28548.224000000002</v>
      </c>
      <c r="G9" s="4"/>
      <c r="H9" s="4"/>
      <c r="I9" s="4"/>
      <c r="J9" s="4"/>
      <c r="K9" s="4"/>
      <c r="L9" s="4"/>
    </row>
    <row r="10" spans="1:14" x14ac:dyDescent="0.3">
      <c r="A10" s="4">
        <v>9</v>
      </c>
      <c r="B10" s="5">
        <v>44444</v>
      </c>
      <c r="C10" s="4" t="s">
        <v>42</v>
      </c>
      <c r="D10" s="4">
        <v>56</v>
      </c>
      <c r="E10" s="4">
        <v>3514.17</v>
      </c>
      <c r="F10" s="4">
        <f t="shared" si="0"/>
        <v>196793.52000000002</v>
      </c>
      <c r="G10" s="4"/>
      <c r="H10" s="4"/>
      <c r="I10" s="4"/>
      <c r="J10" s="4"/>
      <c r="K10" s="4"/>
      <c r="L10" s="4"/>
    </row>
    <row r="11" spans="1:14" x14ac:dyDescent="0.3">
      <c r="A11" s="4">
        <v>10</v>
      </c>
      <c r="B11" s="5">
        <v>44444</v>
      </c>
      <c r="C11" s="4" t="s">
        <v>20</v>
      </c>
      <c r="D11" s="4">
        <v>600</v>
      </c>
      <c r="E11" s="4">
        <v>43</v>
      </c>
      <c r="F11" s="4">
        <f t="shared" si="0"/>
        <v>25800</v>
      </c>
      <c r="G11" s="4"/>
      <c r="H11" s="4"/>
      <c r="I11" s="4"/>
      <c r="J11" s="4"/>
      <c r="K11" s="4"/>
      <c r="L11" s="4"/>
    </row>
    <row r="12" spans="1:14" x14ac:dyDescent="0.3">
      <c r="A12" s="4">
        <v>11</v>
      </c>
      <c r="B12" s="5">
        <v>44444</v>
      </c>
      <c r="C12" s="4" t="s">
        <v>10</v>
      </c>
      <c r="D12" s="4">
        <v>-1</v>
      </c>
      <c r="E12" s="4">
        <v>4600000</v>
      </c>
      <c r="F12" s="4">
        <f t="shared" si="0"/>
        <v>-4600000</v>
      </c>
      <c r="G12" s="4"/>
      <c r="H12" s="4"/>
      <c r="I12" s="4"/>
      <c r="J12" s="4"/>
      <c r="K12" s="4"/>
      <c r="L12" s="4"/>
    </row>
    <row r="13" spans="1:14" x14ac:dyDescent="0.3">
      <c r="A13" s="4">
        <v>12</v>
      </c>
      <c r="B13" s="5">
        <v>44444</v>
      </c>
      <c r="C13" s="4" t="s">
        <v>44</v>
      </c>
      <c r="D13" s="4">
        <v>500</v>
      </c>
      <c r="E13" s="4">
        <v>78.73</v>
      </c>
      <c r="F13" s="4">
        <f t="shared" si="0"/>
        <v>39365</v>
      </c>
      <c r="G13" s="4"/>
      <c r="H13" s="4"/>
      <c r="I13" s="4"/>
      <c r="J13" s="4"/>
      <c r="K13" s="4"/>
      <c r="L13" s="4"/>
    </row>
    <row r="14" spans="1:14" x14ac:dyDescent="0.3">
      <c r="A14" s="4">
        <v>13</v>
      </c>
      <c r="B14" s="5">
        <v>44444</v>
      </c>
      <c r="C14" s="4" t="s">
        <v>54</v>
      </c>
      <c r="D14" s="4">
        <v>40</v>
      </c>
      <c r="E14" s="4">
        <v>9.9876000000000005</v>
      </c>
      <c r="F14" s="4">
        <f t="shared" si="0"/>
        <v>399.50400000000002</v>
      </c>
      <c r="G14" s="4"/>
      <c r="H14" s="4"/>
      <c r="I14" s="4"/>
      <c r="J14" s="4"/>
      <c r="K14" s="4"/>
      <c r="L14" s="4"/>
    </row>
    <row r="15" spans="1:14" x14ac:dyDescent="0.3">
      <c r="A15" s="4">
        <v>14</v>
      </c>
      <c r="B15" s="4" t="s">
        <v>662</v>
      </c>
      <c r="C15" s="4" t="s">
        <v>193</v>
      </c>
      <c r="D15" s="4">
        <v>400</v>
      </c>
      <c r="E15" s="4">
        <v>9.44</v>
      </c>
      <c r="F15" s="4">
        <f t="shared" si="0"/>
        <v>3776</v>
      </c>
      <c r="G15" s="4"/>
      <c r="H15" s="4"/>
      <c r="I15" s="4"/>
      <c r="J15" s="4"/>
      <c r="K15" s="4"/>
      <c r="L15" s="4"/>
    </row>
    <row r="16" spans="1:14" x14ac:dyDescent="0.3">
      <c r="A16" s="4">
        <v>15</v>
      </c>
      <c r="B16" s="4" t="s">
        <v>662</v>
      </c>
      <c r="C16" s="4" t="s">
        <v>44</v>
      </c>
      <c r="D16" s="4">
        <v>900</v>
      </c>
      <c r="E16" s="4">
        <v>130.5</v>
      </c>
      <c r="F16" s="4">
        <f t="shared" si="0"/>
        <v>117450</v>
      </c>
      <c r="G16" s="4"/>
      <c r="H16" s="4"/>
      <c r="I16" s="4"/>
      <c r="J16" s="4"/>
      <c r="K16" s="4"/>
      <c r="L16" s="4"/>
    </row>
    <row r="17" spans="1:12" x14ac:dyDescent="0.3">
      <c r="A17" s="4">
        <v>16</v>
      </c>
      <c r="B17" s="4"/>
      <c r="C17" s="4"/>
      <c r="D17" s="4"/>
      <c r="E17" s="4"/>
      <c r="F17" s="4">
        <f t="shared" si="0"/>
        <v>0</v>
      </c>
      <c r="G17" s="4"/>
      <c r="H17" s="4"/>
      <c r="I17" s="4"/>
      <c r="J17" s="4"/>
      <c r="K17" s="4"/>
      <c r="L17" s="4"/>
    </row>
    <row r="18" spans="1:12" x14ac:dyDescent="0.3">
      <c r="A18" s="4">
        <v>17</v>
      </c>
      <c r="B18" s="4"/>
      <c r="C18" s="4"/>
      <c r="D18" s="4"/>
      <c r="E18" s="4"/>
      <c r="F18" s="4">
        <f t="shared" si="0"/>
        <v>0</v>
      </c>
      <c r="G18" s="4"/>
      <c r="H18" s="4"/>
      <c r="I18" s="4"/>
      <c r="J18" s="4"/>
      <c r="K18" s="4"/>
      <c r="L18" s="4"/>
    </row>
    <row r="19" spans="1:12" x14ac:dyDescent="0.3">
      <c r="A19" s="4">
        <v>18</v>
      </c>
      <c r="B19" s="4"/>
      <c r="C19" s="4"/>
      <c r="D19" s="4"/>
      <c r="E19" s="4"/>
      <c r="F19" s="4">
        <f t="shared" si="0"/>
        <v>0</v>
      </c>
      <c r="G19" s="4"/>
      <c r="H19" s="4"/>
      <c r="I19" s="4"/>
      <c r="J19" s="4"/>
      <c r="K19" s="4"/>
      <c r="L19" s="4"/>
    </row>
    <row r="20" spans="1:12" x14ac:dyDescent="0.3">
      <c r="A20" s="4">
        <v>19</v>
      </c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</row>
    <row r="21" spans="1:12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</row>
    <row r="22" spans="1:12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</row>
    <row r="23" spans="1:12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</row>
    <row r="24" spans="1:12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</row>
    <row r="25" spans="1:12" x14ac:dyDescent="0.3">
      <c r="A25" s="4"/>
      <c r="B25" s="4"/>
      <c r="C25" s="4"/>
      <c r="D25" s="4"/>
      <c r="F25" s="4"/>
      <c r="G25" s="4"/>
      <c r="H25" s="4"/>
      <c r="I25" s="4"/>
      <c r="J25" s="4"/>
      <c r="K25" s="4"/>
      <c r="L25" s="4"/>
    </row>
    <row r="26" spans="1:12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</row>
    <row r="27" spans="1:12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</row>
    <row r="28" spans="1:12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</row>
    <row r="29" spans="1:12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</row>
    <row r="30" spans="1:12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</row>
    <row r="31" spans="1:12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</row>
    <row r="32" spans="1:12" x14ac:dyDescent="0.3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</row>
    <row r="33" spans="1:12" x14ac:dyDescent="0.3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</row>
    <row r="34" spans="1:12" x14ac:dyDescent="0.3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</row>
    <row r="66" spans="6:6" x14ac:dyDescent="0.3">
      <c r="F66" s="6">
        <f>SUM(F2:F65)</f>
        <v>586298.62799999979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3AE62-C2CB-4333-B1FC-37216381AE27}">
  <dimension ref="A1:C101"/>
  <sheetViews>
    <sheetView workbookViewId="0">
      <selection activeCell="C20" sqref="C20"/>
    </sheetView>
  </sheetViews>
  <sheetFormatPr defaultRowHeight="14.4" x14ac:dyDescent="0.3"/>
  <cols>
    <col min="1" max="1" width="19" bestFit="1" customWidth="1"/>
    <col min="2" max="2" width="13.6640625" bestFit="1" customWidth="1"/>
    <col min="3" max="3" width="12" bestFit="1" customWidth="1"/>
  </cols>
  <sheetData>
    <row r="1" spans="1:3" x14ac:dyDescent="0.3">
      <c r="A1" t="s">
        <v>863</v>
      </c>
      <c r="B1" t="s">
        <v>2</v>
      </c>
      <c r="C1" t="s">
        <v>3</v>
      </c>
    </row>
    <row r="2" spans="1:3" x14ac:dyDescent="0.3">
      <c r="A2" t="s">
        <v>693</v>
      </c>
      <c r="B2" t="s">
        <v>10</v>
      </c>
      <c r="C2">
        <v>45404.971846336295</v>
      </c>
    </row>
    <row r="3" spans="1:3" x14ac:dyDescent="0.3">
      <c r="A3" t="s">
        <v>704</v>
      </c>
      <c r="B3" t="s">
        <v>13</v>
      </c>
      <c r="C3">
        <v>3524.9716025773296</v>
      </c>
    </row>
    <row r="4" spans="1:3" x14ac:dyDescent="0.3">
      <c r="A4" t="s">
        <v>864</v>
      </c>
      <c r="B4" t="s">
        <v>15</v>
      </c>
      <c r="C4">
        <v>527.55933092014186</v>
      </c>
    </row>
    <row r="5" spans="1:3" x14ac:dyDescent="0.3">
      <c r="A5" t="s">
        <v>865</v>
      </c>
      <c r="B5" t="s">
        <v>18</v>
      </c>
      <c r="C5">
        <v>2.1032366181878599</v>
      </c>
    </row>
    <row r="6" spans="1:3" x14ac:dyDescent="0.3">
      <c r="A6" t="s">
        <v>866</v>
      </c>
      <c r="B6" t="s">
        <v>20</v>
      </c>
      <c r="C6">
        <v>0.49571290550315</v>
      </c>
    </row>
    <row r="7" spans="1:3" x14ac:dyDescent="0.3">
      <c r="A7" t="s">
        <v>867</v>
      </c>
      <c r="B7" t="s">
        <v>24</v>
      </c>
      <c r="C7">
        <v>1.0018225706908701</v>
      </c>
    </row>
    <row r="8" spans="1:3" x14ac:dyDescent="0.3">
      <c r="A8" t="s">
        <v>22</v>
      </c>
      <c r="B8" t="s">
        <v>22</v>
      </c>
      <c r="C8">
        <v>1.53268051785672</v>
      </c>
    </row>
    <row r="9" spans="1:3" x14ac:dyDescent="0.3">
      <c r="A9" t="s">
        <v>868</v>
      </c>
      <c r="B9" t="s">
        <v>26</v>
      </c>
      <c r="C9">
        <v>41.274975556862067</v>
      </c>
    </row>
    <row r="10" spans="1:3" x14ac:dyDescent="0.3">
      <c r="A10" t="s">
        <v>869</v>
      </c>
      <c r="B10" t="s">
        <v>870</v>
      </c>
      <c r="C10">
        <v>200.87401214377397</v>
      </c>
    </row>
    <row r="11" spans="1:3" x14ac:dyDescent="0.3">
      <c r="A11" t="s">
        <v>871</v>
      </c>
      <c r="B11" t="s">
        <v>27</v>
      </c>
      <c r="C11">
        <v>1137.401971472726</v>
      </c>
    </row>
    <row r="12" spans="1:3" x14ac:dyDescent="0.3">
      <c r="A12" t="s">
        <v>873</v>
      </c>
      <c r="B12" t="s">
        <v>29</v>
      </c>
      <c r="C12">
        <v>308.8271603893312</v>
      </c>
    </row>
    <row r="13" spans="1:3" x14ac:dyDescent="0.3">
      <c r="A13" t="s">
        <v>872</v>
      </c>
      <c r="B13" t="s">
        <v>31</v>
      </c>
      <c r="C13">
        <v>35.981522010740939</v>
      </c>
    </row>
    <row r="14" spans="1:3" x14ac:dyDescent="0.3">
      <c r="A14" t="s">
        <v>874</v>
      </c>
      <c r="B14" t="s">
        <v>33</v>
      </c>
      <c r="C14">
        <v>39.894250453987382</v>
      </c>
    </row>
    <row r="15" spans="1:3" x14ac:dyDescent="0.3">
      <c r="A15" t="s">
        <v>875</v>
      </c>
      <c r="B15" t="s">
        <v>37</v>
      </c>
      <c r="C15">
        <v>0.66118906880730999</v>
      </c>
    </row>
    <row r="16" spans="1:3" x14ac:dyDescent="0.3">
      <c r="A16" t="s">
        <v>877</v>
      </c>
      <c r="B16" t="s">
        <v>42</v>
      </c>
      <c r="C16">
        <v>53.535627205409803</v>
      </c>
    </row>
    <row r="17" spans="1:3" x14ac:dyDescent="0.3">
      <c r="A17" t="s">
        <v>876</v>
      </c>
      <c r="B17" t="s">
        <v>35</v>
      </c>
      <c r="C17">
        <v>1.0009070637766</v>
      </c>
    </row>
    <row r="18" spans="1:3" x14ac:dyDescent="0.3">
      <c r="A18" t="s">
        <v>880</v>
      </c>
      <c r="B18" t="s">
        <v>44</v>
      </c>
      <c r="C18">
        <v>2.1521557994163301</v>
      </c>
    </row>
    <row r="19" spans="1:3" x14ac:dyDescent="0.3">
      <c r="A19" t="s">
        <v>878</v>
      </c>
      <c r="B19" t="s">
        <v>40</v>
      </c>
      <c r="C19">
        <v>0.16884329089156</v>
      </c>
    </row>
    <row r="20" spans="1:3" x14ac:dyDescent="0.3">
      <c r="A20" t="s">
        <v>879</v>
      </c>
      <c r="B20" t="s">
        <v>38</v>
      </c>
      <c r="C20">
        <v>92.073012440289006</v>
      </c>
    </row>
    <row r="21" spans="1:3" x14ac:dyDescent="0.3">
      <c r="A21" t="s">
        <v>48</v>
      </c>
      <c r="B21" t="s">
        <v>48</v>
      </c>
      <c r="C21">
        <v>10.158188523488359</v>
      </c>
    </row>
    <row r="22" spans="1:3" x14ac:dyDescent="0.3">
      <c r="A22" t="s">
        <v>46</v>
      </c>
      <c r="B22" t="s">
        <v>46</v>
      </c>
      <c r="C22">
        <v>9.5296799614475898</v>
      </c>
    </row>
    <row r="23" spans="1:3" x14ac:dyDescent="0.3">
      <c r="A23" t="s">
        <v>881</v>
      </c>
      <c r="B23" t="s">
        <v>54</v>
      </c>
      <c r="C23">
        <v>0.11802668523994</v>
      </c>
    </row>
    <row r="24" spans="1:3" x14ac:dyDescent="0.3">
      <c r="A24" t="s">
        <v>886</v>
      </c>
      <c r="B24" t="s">
        <v>63</v>
      </c>
      <c r="C24">
        <v>656.88226098114956</v>
      </c>
    </row>
    <row r="25" spans="1:3" x14ac:dyDescent="0.3">
      <c r="A25" t="s">
        <v>882</v>
      </c>
      <c r="B25" t="s">
        <v>56</v>
      </c>
      <c r="C25">
        <v>45504.385446685112</v>
      </c>
    </row>
    <row r="26" spans="1:3" x14ac:dyDescent="0.3">
      <c r="A26" t="s">
        <v>884</v>
      </c>
      <c r="B26" t="s">
        <v>59</v>
      </c>
      <c r="C26">
        <v>1.0009808329188501</v>
      </c>
    </row>
    <row r="27" spans="1:3" x14ac:dyDescent="0.3">
      <c r="A27" t="s">
        <v>883</v>
      </c>
      <c r="B27" t="s">
        <v>58</v>
      </c>
      <c r="C27">
        <v>103.6352261961423</v>
      </c>
    </row>
    <row r="28" spans="1:3" x14ac:dyDescent="0.3">
      <c r="A28" t="s">
        <v>888</v>
      </c>
      <c r="B28" t="s">
        <v>52</v>
      </c>
      <c r="C28">
        <v>1.7290707609999999E-5</v>
      </c>
    </row>
    <row r="29" spans="1:3" x14ac:dyDescent="0.3">
      <c r="A29" t="s">
        <v>887</v>
      </c>
      <c r="B29" t="s">
        <v>65</v>
      </c>
      <c r="C29">
        <v>89.599918861868758</v>
      </c>
    </row>
    <row r="30" spans="1:3" x14ac:dyDescent="0.3">
      <c r="A30" t="s">
        <v>885</v>
      </c>
      <c r="B30" t="s">
        <v>61</v>
      </c>
      <c r="C30">
        <v>351.58737997086166</v>
      </c>
    </row>
    <row r="31" spans="1:3" x14ac:dyDescent="0.3">
      <c r="A31" t="s">
        <v>889</v>
      </c>
      <c r="B31" t="s">
        <v>72</v>
      </c>
      <c r="C31">
        <v>15.589373111273989</v>
      </c>
    </row>
    <row r="32" spans="1:3" x14ac:dyDescent="0.3">
      <c r="A32" t="s">
        <v>892</v>
      </c>
      <c r="B32" t="s">
        <v>78</v>
      </c>
      <c r="C32">
        <v>2.0082422835036899</v>
      </c>
    </row>
    <row r="33" spans="1:3" x14ac:dyDescent="0.3">
      <c r="A33" t="s">
        <v>891</v>
      </c>
      <c r="B33" t="s">
        <v>68</v>
      </c>
      <c r="C33">
        <v>295.13796455839343</v>
      </c>
    </row>
    <row r="34" spans="1:3" x14ac:dyDescent="0.3">
      <c r="A34" t="s">
        <v>890</v>
      </c>
      <c r="B34" t="s">
        <v>74</v>
      </c>
      <c r="C34">
        <v>2.21514027945627</v>
      </c>
    </row>
    <row r="35" spans="1:3" x14ac:dyDescent="0.3">
      <c r="A35" t="s">
        <v>898</v>
      </c>
      <c r="B35" t="s">
        <v>80</v>
      </c>
      <c r="C35">
        <v>611.21223771363839</v>
      </c>
    </row>
    <row r="36" spans="1:3" x14ac:dyDescent="0.3">
      <c r="A36" t="s">
        <v>893</v>
      </c>
      <c r="B36" t="s">
        <v>76</v>
      </c>
      <c r="C36">
        <v>29.095343000140371</v>
      </c>
    </row>
    <row r="37" spans="1:3" x14ac:dyDescent="0.3">
      <c r="A37" t="s">
        <v>896</v>
      </c>
      <c r="B37" t="s">
        <v>88</v>
      </c>
      <c r="C37">
        <v>53.42991928855291</v>
      </c>
    </row>
    <row r="38" spans="1:3" x14ac:dyDescent="0.3">
      <c r="A38" t="s">
        <v>899</v>
      </c>
      <c r="B38" t="s">
        <v>92</v>
      </c>
      <c r="C38">
        <v>1.0015949309290499</v>
      </c>
    </row>
    <row r="39" spans="1:3" x14ac:dyDescent="0.3">
      <c r="A39" t="s">
        <v>901</v>
      </c>
      <c r="B39" t="s">
        <v>94</v>
      </c>
      <c r="C39">
        <v>4958.0340543349457</v>
      </c>
    </row>
    <row r="40" spans="1:3" x14ac:dyDescent="0.3">
      <c r="A40" t="s">
        <v>903</v>
      </c>
      <c r="B40" t="s">
        <v>96</v>
      </c>
      <c r="C40">
        <v>20.266359563935989</v>
      </c>
    </row>
    <row r="41" spans="1:3" x14ac:dyDescent="0.3">
      <c r="A41" t="s">
        <v>900</v>
      </c>
      <c r="B41" t="s">
        <v>90</v>
      </c>
      <c r="C41">
        <v>37.417570272323843</v>
      </c>
    </row>
    <row r="42" spans="1:3" x14ac:dyDescent="0.3">
      <c r="A42" t="s">
        <v>895</v>
      </c>
      <c r="B42" t="s">
        <v>84</v>
      </c>
      <c r="C42">
        <v>5.4427927876244997</v>
      </c>
    </row>
    <row r="43" spans="1:3" x14ac:dyDescent="0.3">
      <c r="A43" t="s">
        <v>894</v>
      </c>
      <c r="B43" t="s">
        <v>67</v>
      </c>
      <c r="C43">
        <v>22.5164991364312</v>
      </c>
    </row>
    <row r="44" spans="1:3" x14ac:dyDescent="0.3">
      <c r="A44" t="s">
        <v>897</v>
      </c>
      <c r="B44" t="s">
        <v>86</v>
      </c>
      <c r="C44">
        <v>28.8329798202749</v>
      </c>
    </row>
    <row r="45" spans="1:3" x14ac:dyDescent="0.3">
      <c r="A45" t="s">
        <v>902</v>
      </c>
      <c r="B45" t="s">
        <v>98</v>
      </c>
      <c r="C45">
        <v>1.36706018120899</v>
      </c>
    </row>
    <row r="46" spans="1:3" x14ac:dyDescent="0.3">
      <c r="A46" t="s">
        <v>904</v>
      </c>
      <c r="B46" t="s">
        <v>102</v>
      </c>
      <c r="C46">
        <v>0.15046817240909999</v>
      </c>
    </row>
    <row r="47" spans="1:3" x14ac:dyDescent="0.3">
      <c r="A47" t="s">
        <v>906</v>
      </c>
      <c r="B47" t="s">
        <v>108</v>
      </c>
      <c r="C47">
        <v>717.34618001593651</v>
      </c>
    </row>
    <row r="48" spans="1:3" x14ac:dyDescent="0.3">
      <c r="A48" t="s">
        <v>905</v>
      </c>
      <c r="B48" t="s">
        <v>106</v>
      </c>
      <c r="C48">
        <v>5.6258644355400003E-3</v>
      </c>
    </row>
    <row r="49" spans="1:3" x14ac:dyDescent="0.3">
      <c r="A49" t="s">
        <v>907</v>
      </c>
      <c r="B49" t="s">
        <v>110</v>
      </c>
      <c r="C49">
        <v>312.48271780705545</v>
      </c>
    </row>
    <row r="50" spans="1:3" x14ac:dyDescent="0.3">
      <c r="A50" t="s">
        <v>909</v>
      </c>
      <c r="B50" t="s">
        <v>112</v>
      </c>
      <c r="C50">
        <v>28.974058164735119</v>
      </c>
    </row>
    <row r="51" spans="1:3" x14ac:dyDescent="0.3">
      <c r="A51" t="s">
        <v>908</v>
      </c>
      <c r="B51" t="s">
        <v>118</v>
      </c>
      <c r="C51">
        <v>3.1521199784865002</v>
      </c>
    </row>
    <row r="52" spans="1:3" x14ac:dyDescent="0.3">
      <c r="A52" t="s">
        <v>910</v>
      </c>
      <c r="B52" t="s">
        <v>114</v>
      </c>
      <c r="C52">
        <v>252.15701674716192</v>
      </c>
    </row>
    <row r="53" spans="1:3" x14ac:dyDescent="0.3">
      <c r="A53" t="s">
        <v>917</v>
      </c>
      <c r="B53" t="s">
        <v>130</v>
      </c>
      <c r="C53">
        <v>74554.519836570718</v>
      </c>
    </row>
    <row r="54" spans="1:3" x14ac:dyDescent="0.3">
      <c r="A54" t="s">
        <v>913</v>
      </c>
      <c r="B54" t="s">
        <v>124</v>
      </c>
      <c r="C54">
        <v>0.29029907958478002</v>
      </c>
    </row>
    <row r="55" spans="1:3" x14ac:dyDescent="0.3">
      <c r="A55" t="s">
        <v>911</v>
      </c>
      <c r="B55" t="s">
        <v>122</v>
      </c>
      <c r="C55">
        <v>148.53879006327406</v>
      </c>
    </row>
    <row r="56" spans="1:3" x14ac:dyDescent="0.3">
      <c r="A56" t="s">
        <v>912</v>
      </c>
      <c r="B56" t="s">
        <v>132</v>
      </c>
      <c r="C56">
        <v>0.30727330723085</v>
      </c>
    </row>
    <row r="57" spans="1:3" x14ac:dyDescent="0.3">
      <c r="A57" t="s">
        <v>780</v>
      </c>
      <c r="B57" t="s">
        <v>116</v>
      </c>
      <c r="C57">
        <v>21.883632983110239</v>
      </c>
    </row>
    <row r="58" spans="1:3" x14ac:dyDescent="0.3">
      <c r="A58" t="s">
        <v>921</v>
      </c>
      <c r="B58" t="s">
        <v>120</v>
      </c>
      <c r="C58">
        <v>19.40271466244381</v>
      </c>
    </row>
    <row r="59" spans="1:3" x14ac:dyDescent="0.3">
      <c r="A59" t="s">
        <v>914</v>
      </c>
      <c r="B59" t="s">
        <v>915</v>
      </c>
      <c r="C59">
        <v>45472.763530063414</v>
      </c>
    </row>
    <row r="60" spans="1:3" x14ac:dyDescent="0.3">
      <c r="A60" t="s">
        <v>916</v>
      </c>
      <c r="B60" t="s">
        <v>128</v>
      </c>
      <c r="C60">
        <v>0.43776974162790999</v>
      </c>
    </row>
    <row r="61" spans="1:3" x14ac:dyDescent="0.3">
      <c r="A61" t="s">
        <v>930</v>
      </c>
      <c r="B61" t="s">
        <v>931</v>
      </c>
      <c r="C61">
        <v>2.8476496416470001E-2</v>
      </c>
    </row>
    <row r="62" spans="1:3" x14ac:dyDescent="0.3">
      <c r="A62" t="s">
        <v>919</v>
      </c>
      <c r="B62" t="s">
        <v>134</v>
      </c>
      <c r="C62">
        <v>6.1150801905748402</v>
      </c>
    </row>
    <row r="63" spans="1:3" x14ac:dyDescent="0.3">
      <c r="A63" t="s">
        <v>918</v>
      </c>
      <c r="B63" t="s">
        <v>136</v>
      </c>
      <c r="C63">
        <v>177.99373612393589</v>
      </c>
    </row>
    <row r="64" spans="1:3" x14ac:dyDescent="0.3">
      <c r="A64" t="s">
        <v>922</v>
      </c>
      <c r="B64" t="s">
        <v>142</v>
      </c>
      <c r="C64">
        <v>4.3997768826280002E-2</v>
      </c>
    </row>
    <row r="65" spans="1:3" x14ac:dyDescent="0.3">
      <c r="A65" t="s">
        <v>923</v>
      </c>
      <c r="B65" t="s">
        <v>148</v>
      </c>
      <c r="C65">
        <v>1.0015549571079201</v>
      </c>
    </row>
    <row r="66" spans="1:3" x14ac:dyDescent="0.3">
      <c r="A66" t="s">
        <v>920</v>
      </c>
      <c r="B66" t="s">
        <v>140</v>
      </c>
      <c r="C66">
        <v>0.18115086195326999</v>
      </c>
    </row>
    <row r="67" spans="1:3" x14ac:dyDescent="0.3">
      <c r="A67" t="s">
        <v>927</v>
      </c>
      <c r="B67" t="s">
        <v>152</v>
      </c>
      <c r="C67">
        <v>1.138594828354E-2</v>
      </c>
    </row>
    <row r="68" spans="1:3" x14ac:dyDescent="0.3">
      <c r="A68" t="s">
        <v>925</v>
      </c>
      <c r="B68" t="s">
        <v>167</v>
      </c>
      <c r="C68">
        <v>1.2118363512215999</v>
      </c>
    </row>
    <row r="69" spans="1:3" x14ac:dyDescent="0.3">
      <c r="A69" t="s">
        <v>926</v>
      </c>
      <c r="B69" t="s">
        <v>150</v>
      </c>
      <c r="C69">
        <v>3.2794655071696699</v>
      </c>
    </row>
    <row r="70" spans="1:3" x14ac:dyDescent="0.3">
      <c r="A70" t="s">
        <v>933</v>
      </c>
      <c r="B70" t="s">
        <v>934</v>
      </c>
      <c r="C70">
        <v>0.34117358590979002</v>
      </c>
    </row>
    <row r="71" spans="1:3" x14ac:dyDescent="0.3">
      <c r="A71" t="s">
        <v>924</v>
      </c>
      <c r="B71" t="s">
        <v>144</v>
      </c>
      <c r="C71">
        <v>18.179215368280829</v>
      </c>
    </row>
    <row r="72" spans="1:3" x14ac:dyDescent="0.3">
      <c r="A72" t="s">
        <v>50</v>
      </c>
      <c r="B72" t="s">
        <v>50</v>
      </c>
      <c r="C72">
        <v>29.42424546518869</v>
      </c>
    </row>
    <row r="73" spans="1:3" x14ac:dyDescent="0.3">
      <c r="A73" t="s">
        <v>790</v>
      </c>
      <c r="B73" t="s">
        <v>126</v>
      </c>
      <c r="C73">
        <v>7.1759995395651996</v>
      </c>
    </row>
    <row r="74" spans="1:3" x14ac:dyDescent="0.3">
      <c r="A74" t="s">
        <v>928</v>
      </c>
      <c r="B74" t="s">
        <v>156</v>
      </c>
      <c r="C74">
        <v>1.12507703513713</v>
      </c>
    </row>
    <row r="75" spans="1:3" x14ac:dyDescent="0.3">
      <c r="A75" t="s">
        <v>936</v>
      </c>
      <c r="B75" t="s">
        <v>154</v>
      </c>
      <c r="C75">
        <v>1.9965784496752399</v>
      </c>
    </row>
    <row r="76" spans="1:3" x14ac:dyDescent="0.3">
      <c r="A76" t="s">
        <v>938</v>
      </c>
      <c r="B76" t="s">
        <v>165</v>
      </c>
      <c r="C76">
        <v>0.63303729140911003</v>
      </c>
    </row>
    <row r="77" spans="1:3" x14ac:dyDescent="0.3">
      <c r="A77" t="s">
        <v>929</v>
      </c>
      <c r="B77" t="s">
        <v>163</v>
      </c>
      <c r="C77">
        <v>1.44631417126151</v>
      </c>
    </row>
    <row r="78" spans="1:3" x14ac:dyDescent="0.3">
      <c r="A78" t="s">
        <v>932</v>
      </c>
      <c r="B78" t="s">
        <v>161</v>
      </c>
      <c r="C78">
        <v>91.99901371337964</v>
      </c>
    </row>
    <row r="79" spans="1:3" x14ac:dyDescent="0.3">
      <c r="A79" t="s">
        <v>935</v>
      </c>
      <c r="B79" t="s">
        <v>160</v>
      </c>
      <c r="C79">
        <v>1.91702367875936</v>
      </c>
    </row>
    <row r="80" spans="1:3" x14ac:dyDescent="0.3">
      <c r="A80" t="s">
        <v>937</v>
      </c>
      <c r="B80" t="s">
        <v>158</v>
      </c>
      <c r="C80">
        <v>1.23628621877015</v>
      </c>
    </row>
    <row r="81" spans="1:3" x14ac:dyDescent="0.3">
      <c r="A81" t="s">
        <v>943</v>
      </c>
      <c r="B81" t="s">
        <v>193</v>
      </c>
      <c r="C81">
        <v>0.16212512852267999</v>
      </c>
    </row>
    <row r="82" spans="1:3" x14ac:dyDescent="0.3">
      <c r="A82" t="s">
        <v>939</v>
      </c>
      <c r="B82" t="s">
        <v>169</v>
      </c>
      <c r="C82">
        <v>0.10459933284558</v>
      </c>
    </row>
    <row r="83" spans="1:3" x14ac:dyDescent="0.3">
      <c r="A83" t="s">
        <v>941</v>
      </c>
      <c r="B83" t="s">
        <v>178</v>
      </c>
      <c r="C83">
        <v>11.08083575137127</v>
      </c>
    </row>
    <row r="84" spans="1:3" x14ac:dyDescent="0.3">
      <c r="A84" t="s">
        <v>957</v>
      </c>
      <c r="B84" t="s">
        <v>958</v>
      </c>
      <c r="C84">
        <v>6.2529406115400699</v>
      </c>
    </row>
    <row r="85" spans="1:3" x14ac:dyDescent="0.3">
      <c r="A85" t="s">
        <v>171</v>
      </c>
      <c r="B85" t="s">
        <v>171</v>
      </c>
      <c r="C85">
        <v>23.54840862955049</v>
      </c>
    </row>
    <row r="86" spans="1:3" x14ac:dyDescent="0.3">
      <c r="A86" t="s">
        <v>942</v>
      </c>
      <c r="B86" t="s">
        <v>182</v>
      </c>
      <c r="C86">
        <v>2.8399575706679999E-2</v>
      </c>
    </row>
    <row r="87" spans="1:3" x14ac:dyDescent="0.3">
      <c r="A87" t="s">
        <v>940</v>
      </c>
      <c r="B87" t="s">
        <v>176</v>
      </c>
      <c r="C87">
        <v>120.8268073324856</v>
      </c>
    </row>
    <row r="88" spans="1:3" x14ac:dyDescent="0.3">
      <c r="A88" t="s">
        <v>947</v>
      </c>
      <c r="B88" t="s">
        <v>188</v>
      </c>
      <c r="C88">
        <v>1.60064346620775</v>
      </c>
    </row>
    <row r="89" spans="1:3" x14ac:dyDescent="0.3">
      <c r="A89" t="s">
        <v>843</v>
      </c>
      <c r="B89" t="s">
        <v>184</v>
      </c>
      <c r="C89">
        <v>6.6535594993183196</v>
      </c>
    </row>
    <row r="90" spans="1:3" x14ac:dyDescent="0.3">
      <c r="A90" t="s">
        <v>944</v>
      </c>
      <c r="B90" t="s">
        <v>945</v>
      </c>
      <c r="C90">
        <v>7.02062796025095</v>
      </c>
    </row>
    <row r="91" spans="1:3" x14ac:dyDescent="0.3">
      <c r="A91" t="s">
        <v>946</v>
      </c>
      <c r="B91" t="s">
        <v>186</v>
      </c>
      <c r="C91">
        <v>9.0470133833059005</v>
      </c>
    </row>
    <row r="92" spans="1:3" x14ac:dyDescent="0.3">
      <c r="A92" t="s">
        <v>948</v>
      </c>
      <c r="B92" t="s">
        <v>195</v>
      </c>
      <c r="C92">
        <v>1.99660015410443</v>
      </c>
    </row>
    <row r="93" spans="1:3" x14ac:dyDescent="0.3">
      <c r="A93" t="s">
        <v>951</v>
      </c>
      <c r="B93" t="s">
        <v>201</v>
      </c>
      <c r="C93">
        <v>1.00106810005381</v>
      </c>
    </row>
    <row r="94" spans="1:3" x14ac:dyDescent="0.3">
      <c r="A94" t="s">
        <v>950</v>
      </c>
      <c r="B94" t="s">
        <v>199</v>
      </c>
      <c r="C94">
        <v>14.93899051107597</v>
      </c>
    </row>
    <row r="95" spans="1:3" x14ac:dyDescent="0.3">
      <c r="A95" t="s">
        <v>952</v>
      </c>
      <c r="B95" t="s">
        <v>197</v>
      </c>
      <c r="C95">
        <v>3.4459443436812398</v>
      </c>
    </row>
    <row r="96" spans="1:3" x14ac:dyDescent="0.3">
      <c r="A96" t="s">
        <v>949</v>
      </c>
      <c r="B96" t="s">
        <v>189</v>
      </c>
      <c r="C96">
        <v>0.13217650821783999</v>
      </c>
    </row>
    <row r="97" spans="1:3" x14ac:dyDescent="0.3">
      <c r="A97" t="s">
        <v>955</v>
      </c>
      <c r="B97" t="s">
        <v>956</v>
      </c>
      <c r="C97">
        <v>1.13739646481682</v>
      </c>
    </row>
    <row r="98" spans="1:3" x14ac:dyDescent="0.3">
      <c r="A98" t="s">
        <v>953</v>
      </c>
      <c r="B98" t="s">
        <v>954</v>
      </c>
      <c r="C98">
        <v>1.0009481140112499</v>
      </c>
    </row>
    <row r="99" spans="1:3" x14ac:dyDescent="0.3">
      <c r="A99" t="s">
        <v>959</v>
      </c>
      <c r="B99" t="s">
        <v>960</v>
      </c>
      <c r="C99">
        <v>0.14782707929416999</v>
      </c>
    </row>
    <row r="100" spans="1:3" x14ac:dyDescent="0.3">
      <c r="A100" t="s">
        <v>961</v>
      </c>
      <c r="B100" t="s">
        <v>962</v>
      </c>
      <c r="C100">
        <v>6.8603309580779995E-2</v>
      </c>
    </row>
    <row r="101" spans="1:3" x14ac:dyDescent="0.3">
      <c r="A101" t="s">
        <v>972</v>
      </c>
      <c r="B101" t="s">
        <v>973</v>
      </c>
      <c r="C101">
        <v>10.88735564577704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F1127-D3DE-4B29-9BF6-20356EBD3562}">
  <dimension ref="A1:F150"/>
  <sheetViews>
    <sheetView workbookViewId="0">
      <selection activeCell="A158" sqref="A158"/>
    </sheetView>
  </sheetViews>
  <sheetFormatPr defaultRowHeight="14.4" x14ac:dyDescent="0.3"/>
  <cols>
    <col min="1" max="1" width="35.109375" bestFit="1" customWidth="1"/>
    <col min="2" max="2" width="7.5546875" bestFit="1" customWidth="1"/>
    <col min="3" max="3" width="12" bestFit="1" customWidth="1"/>
    <col min="4" max="4" width="9" bestFit="1" customWidth="1"/>
    <col min="5" max="5" width="11.5546875" bestFit="1" customWidth="1"/>
    <col min="6" max="6" width="7.77734375" bestFit="1" customWidth="1"/>
  </cols>
  <sheetData>
    <row r="1" spans="1:6" x14ac:dyDescent="0.3">
      <c r="A1" t="s">
        <v>204</v>
      </c>
      <c r="B1" t="s">
        <v>205</v>
      </c>
      <c r="C1" t="s">
        <v>206</v>
      </c>
      <c r="D1" t="s">
        <v>207</v>
      </c>
      <c r="E1" t="s">
        <v>208</v>
      </c>
      <c r="F1" t="s">
        <v>209</v>
      </c>
    </row>
    <row r="2" spans="1:6" hidden="1" x14ac:dyDescent="0.3">
      <c r="A2" s="1" t="s">
        <v>210</v>
      </c>
      <c r="B2" s="1" t="s">
        <v>203</v>
      </c>
      <c r="C2">
        <v>0.82224699999999995</v>
      </c>
      <c r="D2">
        <v>1.2161789999999999</v>
      </c>
      <c r="E2" s="1" t="s">
        <v>211</v>
      </c>
      <c r="F2" s="1" t="s">
        <v>11</v>
      </c>
    </row>
    <row r="3" spans="1:6" hidden="1" x14ac:dyDescent="0.3">
      <c r="A3" s="1" t="s">
        <v>212</v>
      </c>
      <c r="B3" s="1" t="s">
        <v>213</v>
      </c>
      <c r="C3">
        <v>0.70672699999999999</v>
      </c>
      <c r="D3">
        <v>1.414973</v>
      </c>
      <c r="E3" s="1" t="s">
        <v>214</v>
      </c>
      <c r="F3" s="1" t="s">
        <v>11</v>
      </c>
    </row>
    <row r="4" spans="1:6" hidden="1" x14ac:dyDescent="0.3">
      <c r="A4" s="1" t="s">
        <v>215</v>
      </c>
      <c r="B4" s="1" t="s">
        <v>216</v>
      </c>
      <c r="C4">
        <v>1.285479</v>
      </c>
      <c r="D4">
        <v>0.77791999999999994</v>
      </c>
      <c r="E4" s="1" t="s">
        <v>217</v>
      </c>
      <c r="F4" s="1" t="s">
        <v>11</v>
      </c>
    </row>
    <row r="5" spans="1:6" hidden="1" x14ac:dyDescent="0.3">
      <c r="A5" s="1" t="s">
        <v>218</v>
      </c>
      <c r="B5" s="1" t="s">
        <v>219</v>
      </c>
      <c r="C5">
        <v>1.2056549999999999</v>
      </c>
      <c r="D5">
        <v>0.82942499999999997</v>
      </c>
      <c r="E5" s="1" t="s">
        <v>220</v>
      </c>
      <c r="F5" s="1" t="s">
        <v>11</v>
      </c>
    </row>
    <row r="6" spans="1:6" hidden="1" x14ac:dyDescent="0.3">
      <c r="A6" s="1" t="s">
        <v>221</v>
      </c>
      <c r="B6" s="1" t="s">
        <v>222</v>
      </c>
      <c r="C6">
        <v>109.170249</v>
      </c>
      <c r="D6">
        <v>9.1599999999999997E-3</v>
      </c>
      <c r="E6" s="1" t="s">
        <v>223</v>
      </c>
      <c r="F6" s="1" t="s">
        <v>11</v>
      </c>
    </row>
    <row r="7" spans="1:6" hidden="1" x14ac:dyDescent="0.3">
      <c r="A7" s="1" t="s">
        <v>224</v>
      </c>
      <c r="B7" s="1" t="s">
        <v>225</v>
      </c>
      <c r="C7">
        <v>0.90188500000000005</v>
      </c>
      <c r="D7">
        <v>1.1087880000000001</v>
      </c>
      <c r="E7" s="1" t="s">
        <v>226</v>
      </c>
      <c r="F7" s="1" t="s">
        <v>11</v>
      </c>
    </row>
    <row r="8" spans="1:6" hidden="1" x14ac:dyDescent="0.3">
      <c r="A8" s="1" t="s">
        <v>227</v>
      </c>
      <c r="B8" s="1" t="s">
        <v>228</v>
      </c>
      <c r="C8">
        <v>403.46245399999998</v>
      </c>
      <c r="D8">
        <v>2.4789999999999999E-3</v>
      </c>
      <c r="E8" s="1" t="s">
        <v>229</v>
      </c>
      <c r="F8" s="1" t="s">
        <v>11</v>
      </c>
    </row>
    <row r="9" spans="1:6" hidden="1" x14ac:dyDescent="0.3">
      <c r="A9" s="1" t="s">
        <v>230</v>
      </c>
      <c r="B9" s="1" t="s">
        <v>231</v>
      </c>
      <c r="C9">
        <v>77.975741999999997</v>
      </c>
      <c r="D9">
        <v>1.2825E-2</v>
      </c>
      <c r="E9" s="1" t="s">
        <v>232</v>
      </c>
      <c r="F9" s="1" t="s">
        <v>11</v>
      </c>
    </row>
    <row r="10" spans="1:6" hidden="1" x14ac:dyDescent="0.3">
      <c r="A10" s="1" t="s">
        <v>233</v>
      </c>
      <c r="B10" s="1" t="s">
        <v>234</v>
      </c>
      <c r="C10">
        <v>100.830156</v>
      </c>
      <c r="D10">
        <v>9.9179999999999997E-3</v>
      </c>
      <c r="E10" s="1" t="s">
        <v>235</v>
      </c>
      <c r="F10" s="1" t="s">
        <v>11</v>
      </c>
    </row>
    <row r="11" spans="1:6" hidden="1" x14ac:dyDescent="0.3">
      <c r="A11" s="1" t="s">
        <v>236</v>
      </c>
      <c r="B11" s="1" t="s">
        <v>237</v>
      </c>
      <c r="C11">
        <v>133.41611800000001</v>
      </c>
      <c r="D11">
        <v>7.4949999999999999E-3</v>
      </c>
      <c r="E11" s="1" t="s">
        <v>238</v>
      </c>
      <c r="F11" s="1" t="s">
        <v>11</v>
      </c>
    </row>
    <row r="12" spans="1:6" hidden="1" x14ac:dyDescent="0.3">
      <c r="A12" s="1" t="s">
        <v>239</v>
      </c>
      <c r="B12" s="1" t="s">
        <v>240</v>
      </c>
      <c r="C12">
        <v>654.17543899999998</v>
      </c>
      <c r="D12">
        <v>1.529E-3</v>
      </c>
      <c r="E12" s="1" t="s">
        <v>241</v>
      </c>
      <c r="F12" s="1" t="s">
        <v>11</v>
      </c>
    </row>
    <row r="13" spans="1:6" hidden="1" x14ac:dyDescent="0.3">
      <c r="A13" s="1" t="s">
        <v>242</v>
      </c>
      <c r="B13" s="1" t="s">
        <v>243</v>
      </c>
      <c r="C13">
        <v>93.796942000000001</v>
      </c>
      <c r="D13">
        <v>1.0661E-2</v>
      </c>
      <c r="E13" s="1" t="s">
        <v>244</v>
      </c>
      <c r="F13" s="1" t="s">
        <v>11</v>
      </c>
    </row>
    <row r="14" spans="1:6" hidden="1" x14ac:dyDescent="0.3">
      <c r="A14" s="1" t="s">
        <v>245</v>
      </c>
      <c r="B14" s="1" t="s">
        <v>246</v>
      </c>
      <c r="C14">
        <v>520.03073099999995</v>
      </c>
      <c r="D14">
        <v>1.923E-3</v>
      </c>
      <c r="E14" s="1" t="s">
        <v>247</v>
      </c>
      <c r="F14" s="1" t="s">
        <v>11</v>
      </c>
    </row>
    <row r="15" spans="1:6" hidden="1" x14ac:dyDescent="0.3">
      <c r="A15" s="1" t="s">
        <v>248</v>
      </c>
      <c r="B15" s="1" t="s">
        <v>249</v>
      </c>
      <c r="C15">
        <v>1.8019620000000001</v>
      </c>
      <c r="D15">
        <v>0.55495099999999997</v>
      </c>
      <c r="E15" s="1" t="s">
        <v>250</v>
      </c>
      <c r="F15" s="1" t="s">
        <v>11</v>
      </c>
    </row>
    <row r="16" spans="1:6" hidden="1" x14ac:dyDescent="0.3">
      <c r="A16" s="1" t="s">
        <v>251</v>
      </c>
      <c r="B16" s="1" t="s">
        <v>252</v>
      </c>
      <c r="C16">
        <v>1.6926779999999999</v>
      </c>
      <c r="D16">
        <v>0.59077999999999997</v>
      </c>
      <c r="E16" s="1" t="s">
        <v>253</v>
      </c>
      <c r="F16" s="1" t="s">
        <v>11</v>
      </c>
    </row>
    <row r="17" spans="1:6" hidden="1" x14ac:dyDescent="0.3">
      <c r="A17" s="1" t="s">
        <v>254</v>
      </c>
      <c r="B17" s="1" t="s">
        <v>255</v>
      </c>
      <c r="C17">
        <v>0.99551500000000004</v>
      </c>
      <c r="D17">
        <v>1.004505</v>
      </c>
      <c r="E17" s="1" t="s">
        <v>256</v>
      </c>
      <c r="F17" s="1" t="s">
        <v>11</v>
      </c>
    </row>
    <row r="18" spans="1:6" hidden="1" x14ac:dyDescent="0.3">
      <c r="A18" s="1" t="s">
        <v>257</v>
      </c>
      <c r="B18" s="1" t="s">
        <v>258</v>
      </c>
      <c r="C18">
        <v>0.376137</v>
      </c>
      <c r="D18">
        <v>2.6586059999999998</v>
      </c>
      <c r="E18" s="1" t="s">
        <v>259</v>
      </c>
      <c r="F18" s="1" t="s">
        <v>11</v>
      </c>
    </row>
    <row r="19" spans="1:6" hidden="1" x14ac:dyDescent="0.3">
      <c r="A19" s="1" t="s">
        <v>260</v>
      </c>
      <c r="B19" s="1" t="s">
        <v>261</v>
      </c>
      <c r="C19">
        <v>84.441796999999994</v>
      </c>
      <c r="D19">
        <v>1.1842E-2</v>
      </c>
      <c r="E19" s="1" t="s">
        <v>262</v>
      </c>
      <c r="F19" s="1" t="s">
        <v>11</v>
      </c>
    </row>
    <row r="20" spans="1:6" hidden="1" x14ac:dyDescent="0.3">
      <c r="A20" s="1" t="s">
        <v>263</v>
      </c>
      <c r="B20" s="1" t="s">
        <v>264</v>
      </c>
      <c r="C20">
        <v>2.000467</v>
      </c>
      <c r="D20">
        <v>0.49988300000000002</v>
      </c>
      <c r="E20" s="1" t="s">
        <v>265</v>
      </c>
      <c r="F20" s="1" t="s">
        <v>11</v>
      </c>
    </row>
    <row r="21" spans="1:6" hidden="1" x14ac:dyDescent="0.3">
      <c r="A21" s="1" t="s">
        <v>266</v>
      </c>
      <c r="B21" s="1" t="s">
        <v>267</v>
      </c>
      <c r="C21">
        <v>2.519174</v>
      </c>
      <c r="D21">
        <v>0.39695599999999998</v>
      </c>
      <c r="E21" s="1" t="s">
        <v>268</v>
      </c>
      <c r="F21" s="1" t="s">
        <v>11</v>
      </c>
    </row>
    <row r="22" spans="1:6" hidden="1" x14ac:dyDescent="0.3">
      <c r="A22" s="1" t="s">
        <v>269</v>
      </c>
      <c r="B22" s="1" t="s">
        <v>270</v>
      </c>
      <c r="C22">
        <v>2.0064570000000002</v>
      </c>
      <c r="D22">
        <v>0.49839099999999997</v>
      </c>
      <c r="E22" s="1" t="s">
        <v>271</v>
      </c>
      <c r="F22" s="1" t="s">
        <v>11</v>
      </c>
    </row>
    <row r="23" spans="1:6" hidden="1" x14ac:dyDescent="0.3">
      <c r="A23" s="1" t="s">
        <v>272</v>
      </c>
      <c r="B23" s="1" t="s">
        <v>273</v>
      </c>
      <c r="C23">
        <v>6.866682</v>
      </c>
      <c r="D23">
        <v>0.14563100000000001</v>
      </c>
      <c r="E23" s="1" t="s">
        <v>274</v>
      </c>
      <c r="F23" s="1" t="s">
        <v>11</v>
      </c>
    </row>
    <row r="24" spans="1:6" hidden="1" x14ac:dyDescent="0.3">
      <c r="A24" s="1" t="s">
        <v>275</v>
      </c>
      <c r="B24" s="1" t="s">
        <v>276</v>
      </c>
      <c r="C24">
        <v>1.6041300000000001</v>
      </c>
      <c r="D24">
        <v>0.62339100000000003</v>
      </c>
      <c r="E24" s="1" t="s">
        <v>277</v>
      </c>
      <c r="F24" s="1" t="s">
        <v>11</v>
      </c>
    </row>
    <row r="25" spans="1:6" hidden="1" x14ac:dyDescent="0.3">
      <c r="A25" s="1" t="s">
        <v>278</v>
      </c>
      <c r="B25" s="1" t="s">
        <v>279</v>
      </c>
      <c r="C25">
        <v>10.758564</v>
      </c>
      <c r="D25">
        <v>9.2949000000000004E-2</v>
      </c>
      <c r="E25" s="1" t="s">
        <v>280</v>
      </c>
      <c r="F25" s="1" t="s">
        <v>11</v>
      </c>
    </row>
    <row r="26" spans="1:6" hidden="1" x14ac:dyDescent="0.3">
      <c r="A26" s="1" t="s">
        <v>281</v>
      </c>
      <c r="B26" s="1" t="s">
        <v>282</v>
      </c>
      <c r="C26">
        <v>5.2818690000000004</v>
      </c>
      <c r="D26">
        <v>0.189327</v>
      </c>
      <c r="E26" s="1" t="s">
        <v>283</v>
      </c>
      <c r="F26" s="1" t="s">
        <v>11</v>
      </c>
    </row>
    <row r="27" spans="1:6" hidden="1" x14ac:dyDescent="0.3">
      <c r="A27" s="1" t="s">
        <v>284</v>
      </c>
      <c r="B27" s="1" t="s">
        <v>285</v>
      </c>
      <c r="C27">
        <v>1.3289409999999999</v>
      </c>
      <c r="D27">
        <v>0.75247900000000001</v>
      </c>
      <c r="E27" s="1" t="s">
        <v>286</v>
      </c>
      <c r="F27" s="1" t="s">
        <v>11</v>
      </c>
    </row>
    <row r="28" spans="1:6" hidden="1" x14ac:dyDescent="0.3">
      <c r="A28" s="1" t="s">
        <v>287</v>
      </c>
      <c r="B28" s="1" t="s">
        <v>288</v>
      </c>
      <c r="C28">
        <v>1.6107100000000001</v>
      </c>
      <c r="D28">
        <v>0.62084399999999995</v>
      </c>
      <c r="E28" s="1" t="s">
        <v>289</v>
      </c>
      <c r="F28" s="1" t="s">
        <v>11</v>
      </c>
    </row>
    <row r="29" spans="1:6" hidden="1" x14ac:dyDescent="0.3">
      <c r="A29" s="1" t="s">
        <v>290</v>
      </c>
      <c r="B29" s="1" t="s">
        <v>291</v>
      </c>
      <c r="C29">
        <v>1966.666667</v>
      </c>
      <c r="D29">
        <v>5.0799999999999999E-4</v>
      </c>
      <c r="E29" s="1" t="s">
        <v>292</v>
      </c>
      <c r="F29" s="1" t="s">
        <v>11</v>
      </c>
    </row>
    <row r="30" spans="1:6" hidden="1" x14ac:dyDescent="0.3">
      <c r="A30" s="1" t="s">
        <v>293</v>
      </c>
      <c r="B30" s="1" t="s">
        <v>294</v>
      </c>
      <c r="C30">
        <v>4048.6427800000001</v>
      </c>
      <c r="D30">
        <v>2.4699999999999999E-4</v>
      </c>
      <c r="E30" s="1" t="s">
        <v>295</v>
      </c>
      <c r="F30" s="1" t="s">
        <v>11</v>
      </c>
    </row>
    <row r="31" spans="1:6" hidden="1" x14ac:dyDescent="0.3">
      <c r="A31" s="1" t="s">
        <v>296</v>
      </c>
      <c r="B31" s="1" t="s">
        <v>297</v>
      </c>
      <c r="C31">
        <v>92.297030000000007</v>
      </c>
      <c r="D31">
        <v>1.0834999999999999E-2</v>
      </c>
      <c r="E31" s="1" t="s">
        <v>298</v>
      </c>
      <c r="F31" s="1" t="s">
        <v>11</v>
      </c>
    </row>
    <row r="32" spans="1:6" hidden="1" x14ac:dyDescent="0.3">
      <c r="A32" s="1" t="s">
        <v>299</v>
      </c>
      <c r="B32" s="1" t="s">
        <v>300</v>
      </c>
      <c r="C32">
        <v>541.57674499999996</v>
      </c>
      <c r="D32">
        <v>1.846E-3</v>
      </c>
      <c r="E32" s="1" t="s">
        <v>301</v>
      </c>
      <c r="F32" s="1" t="s">
        <v>11</v>
      </c>
    </row>
    <row r="33" spans="1:6" hidden="1" x14ac:dyDescent="0.3">
      <c r="A33" s="1" t="s">
        <v>302</v>
      </c>
      <c r="B33" s="1" t="s">
        <v>303</v>
      </c>
      <c r="C33">
        <v>97.902170999999996</v>
      </c>
      <c r="D33">
        <v>1.0214000000000001E-2</v>
      </c>
      <c r="E33" s="1" t="s">
        <v>304</v>
      </c>
      <c r="F33" s="1" t="s">
        <v>11</v>
      </c>
    </row>
    <row r="34" spans="1:6" hidden="1" x14ac:dyDescent="0.3">
      <c r="A34" s="1" t="s">
        <v>305</v>
      </c>
      <c r="B34" s="1" t="s">
        <v>306</v>
      </c>
      <c r="C34">
        <v>703.63969299999997</v>
      </c>
      <c r="D34">
        <v>1.421E-3</v>
      </c>
      <c r="E34" s="1" t="s">
        <v>307</v>
      </c>
      <c r="F34" s="1" t="s">
        <v>11</v>
      </c>
    </row>
    <row r="35" spans="1:6" hidden="1" x14ac:dyDescent="0.3">
      <c r="A35" s="1" t="s">
        <v>308</v>
      </c>
      <c r="B35" s="1" t="s">
        <v>309</v>
      </c>
      <c r="C35">
        <v>6.431413</v>
      </c>
      <c r="D35">
        <v>0.15548699999999999</v>
      </c>
      <c r="E35" s="1" t="s">
        <v>310</v>
      </c>
      <c r="F35" s="1" t="s">
        <v>11</v>
      </c>
    </row>
    <row r="36" spans="1:6" hidden="1" x14ac:dyDescent="0.3">
      <c r="A36" s="1" t="s">
        <v>311</v>
      </c>
      <c r="B36" s="1" t="s">
        <v>312</v>
      </c>
      <c r="C36">
        <v>3724.7960079999998</v>
      </c>
      <c r="D36">
        <v>2.6800000000000001E-4</v>
      </c>
      <c r="E36" s="1" t="s">
        <v>313</v>
      </c>
      <c r="F36" s="1" t="s">
        <v>11</v>
      </c>
    </row>
    <row r="37" spans="1:6" hidden="1" x14ac:dyDescent="0.3">
      <c r="A37" s="1" t="s">
        <v>314</v>
      </c>
      <c r="B37" s="1" t="s">
        <v>315</v>
      </c>
      <c r="C37">
        <v>1979.1932059999999</v>
      </c>
      <c r="D37">
        <v>5.0500000000000002E-4</v>
      </c>
      <c r="E37" s="1" t="s">
        <v>316</v>
      </c>
      <c r="F37" s="1" t="s">
        <v>11</v>
      </c>
    </row>
    <row r="38" spans="1:6" hidden="1" x14ac:dyDescent="0.3">
      <c r="A38" s="1" t="s">
        <v>317</v>
      </c>
      <c r="B38" s="1" t="s">
        <v>318</v>
      </c>
      <c r="C38">
        <v>613.08320900000001</v>
      </c>
      <c r="D38">
        <v>1.6310000000000001E-3</v>
      </c>
      <c r="E38" s="1" t="s">
        <v>319</v>
      </c>
      <c r="F38" s="1" t="s">
        <v>11</v>
      </c>
    </row>
    <row r="39" spans="1:6" hidden="1" x14ac:dyDescent="0.3">
      <c r="A39" s="1" t="s">
        <v>320</v>
      </c>
      <c r="B39" s="1" t="s">
        <v>321</v>
      </c>
      <c r="C39">
        <v>6.1903269999999999</v>
      </c>
      <c r="D39">
        <v>0.16154199999999999</v>
      </c>
      <c r="E39" s="1" t="s">
        <v>322</v>
      </c>
      <c r="F39" s="1" t="s">
        <v>11</v>
      </c>
    </row>
    <row r="40" spans="1:6" hidden="1" x14ac:dyDescent="0.3">
      <c r="A40" s="1" t="s">
        <v>323</v>
      </c>
      <c r="B40" s="1" t="s">
        <v>324</v>
      </c>
      <c r="C40">
        <v>0.99551500000000004</v>
      </c>
      <c r="D40">
        <v>1.004505</v>
      </c>
      <c r="E40" s="1" t="s">
        <v>325</v>
      </c>
      <c r="F40" s="1" t="s">
        <v>11</v>
      </c>
    </row>
    <row r="41" spans="1:6" hidden="1" x14ac:dyDescent="0.3">
      <c r="A41" s="1" t="s">
        <v>326</v>
      </c>
      <c r="B41" s="1" t="s">
        <v>327</v>
      </c>
      <c r="C41">
        <v>20.993192000000001</v>
      </c>
      <c r="D41">
        <v>4.7634000000000003E-2</v>
      </c>
      <c r="E41" s="1" t="s">
        <v>328</v>
      </c>
      <c r="F41" s="1" t="s">
        <v>11</v>
      </c>
    </row>
    <row r="42" spans="1:6" hidden="1" x14ac:dyDescent="0.3">
      <c r="A42" s="1" t="s">
        <v>329</v>
      </c>
      <c r="B42" s="1" t="s">
        <v>330</v>
      </c>
      <c r="C42">
        <v>6.1298709999999996</v>
      </c>
      <c r="D42">
        <v>0.163136</v>
      </c>
      <c r="E42" s="1" t="s">
        <v>331</v>
      </c>
      <c r="F42" s="1" t="s">
        <v>11</v>
      </c>
    </row>
    <row r="43" spans="1:6" hidden="1" x14ac:dyDescent="0.3">
      <c r="A43" s="1" t="s">
        <v>332</v>
      </c>
      <c r="B43" s="1" t="s">
        <v>333</v>
      </c>
      <c r="C43">
        <v>177.20749000000001</v>
      </c>
      <c r="D43">
        <v>5.6429999999999996E-3</v>
      </c>
      <c r="E43" s="1" t="s">
        <v>334</v>
      </c>
      <c r="F43" s="1" t="s">
        <v>11</v>
      </c>
    </row>
    <row r="44" spans="1:6" hidden="1" x14ac:dyDescent="0.3">
      <c r="A44" s="1" t="s">
        <v>335</v>
      </c>
      <c r="B44" s="1" t="s">
        <v>336</v>
      </c>
      <c r="C44">
        <v>56.582701</v>
      </c>
      <c r="D44">
        <v>1.7673000000000001E-2</v>
      </c>
      <c r="E44" s="1" t="s">
        <v>337</v>
      </c>
      <c r="F44" s="1" t="s">
        <v>11</v>
      </c>
    </row>
    <row r="45" spans="1:6" hidden="1" x14ac:dyDescent="0.3">
      <c r="A45" s="1" t="s">
        <v>338</v>
      </c>
      <c r="B45" s="1" t="s">
        <v>339</v>
      </c>
      <c r="C45">
        <v>2.6989000000000001</v>
      </c>
      <c r="D45">
        <v>0.37052099999999999</v>
      </c>
      <c r="E45" s="1" t="s">
        <v>340</v>
      </c>
      <c r="F45" s="1" t="s">
        <v>11</v>
      </c>
    </row>
    <row r="46" spans="1:6" hidden="1" x14ac:dyDescent="0.3">
      <c r="A46" s="1" t="s">
        <v>341</v>
      </c>
      <c r="B46" s="1" t="s">
        <v>342</v>
      </c>
      <c r="C46">
        <v>15.670623000000001</v>
      </c>
      <c r="D46">
        <v>6.3813999999999996E-2</v>
      </c>
      <c r="E46" s="1" t="s">
        <v>343</v>
      </c>
      <c r="F46" s="1" t="s">
        <v>11</v>
      </c>
    </row>
    <row r="47" spans="1:6" hidden="1" x14ac:dyDescent="0.3">
      <c r="A47" s="1" t="s">
        <v>344</v>
      </c>
      <c r="B47" s="1" t="s">
        <v>345</v>
      </c>
      <c r="C47">
        <v>15.005231</v>
      </c>
      <c r="D47">
        <v>6.6642999999999994E-2</v>
      </c>
      <c r="E47" s="1" t="s">
        <v>346</v>
      </c>
      <c r="F47" s="1" t="s">
        <v>11</v>
      </c>
    </row>
    <row r="48" spans="1:6" hidden="1" x14ac:dyDescent="0.3">
      <c r="A48" s="1" t="s">
        <v>347</v>
      </c>
      <c r="B48" s="1" t="s">
        <v>348</v>
      </c>
      <c r="C48">
        <v>42.517674</v>
      </c>
      <c r="D48">
        <v>2.3519999999999999E-2</v>
      </c>
      <c r="E48" s="1" t="s">
        <v>349</v>
      </c>
      <c r="F48" s="1" t="s">
        <v>11</v>
      </c>
    </row>
    <row r="49" spans="1:6" hidden="1" x14ac:dyDescent="0.3">
      <c r="A49" s="1" t="s">
        <v>350</v>
      </c>
      <c r="B49" s="1" t="s">
        <v>351</v>
      </c>
      <c r="C49">
        <v>2.010135</v>
      </c>
      <c r="D49">
        <v>0.497479</v>
      </c>
      <c r="E49" s="1" t="s">
        <v>352</v>
      </c>
      <c r="F49" s="1" t="s">
        <v>11</v>
      </c>
    </row>
    <row r="50" spans="1:6" hidden="1" x14ac:dyDescent="0.3">
      <c r="A50" s="1" t="s">
        <v>353</v>
      </c>
      <c r="B50" s="1" t="s">
        <v>354</v>
      </c>
      <c r="C50">
        <v>51.717059999999996</v>
      </c>
      <c r="D50">
        <v>1.9335999999999999E-2</v>
      </c>
      <c r="E50" s="1" t="s">
        <v>355</v>
      </c>
      <c r="F50" s="1" t="s">
        <v>11</v>
      </c>
    </row>
    <row r="51" spans="1:6" hidden="1" x14ac:dyDescent="0.3">
      <c r="A51" s="1" t="s">
        <v>356</v>
      </c>
      <c r="B51" s="1" t="s">
        <v>357</v>
      </c>
      <c r="C51">
        <v>3.4183680000000001</v>
      </c>
      <c r="D51">
        <v>0.29253699999999999</v>
      </c>
      <c r="E51" s="1" t="s">
        <v>358</v>
      </c>
      <c r="F51" s="1" t="s">
        <v>11</v>
      </c>
    </row>
    <row r="52" spans="1:6" hidden="1" x14ac:dyDescent="0.3">
      <c r="A52" s="1" t="s">
        <v>359</v>
      </c>
      <c r="B52" s="1" t="s">
        <v>360</v>
      </c>
      <c r="C52">
        <v>5.7383810000000004</v>
      </c>
      <c r="D52">
        <v>0.174265</v>
      </c>
      <c r="E52" s="1" t="s">
        <v>361</v>
      </c>
      <c r="F52" s="1" t="s">
        <v>11</v>
      </c>
    </row>
    <row r="53" spans="1:6" hidden="1" x14ac:dyDescent="0.3">
      <c r="A53" s="1" t="s">
        <v>362</v>
      </c>
      <c r="B53" s="1" t="s">
        <v>363</v>
      </c>
      <c r="C53">
        <v>0.70638100000000004</v>
      </c>
      <c r="D53">
        <v>1.415667</v>
      </c>
      <c r="E53" s="1" t="s">
        <v>364</v>
      </c>
      <c r="F53" s="1" t="s">
        <v>11</v>
      </c>
    </row>
    <row r="54" spans="1:6" hidden="1" x14ac:dyDescent="0.3">
      <c r="A54" s="1" t="s">
        <v>365</v>
      </c>
      <c r="B54" s="1" t="s">
        <v>366</v>
      </c>
      <c r="C54">
        <v>7.6771669999999999</v>
      </c>
      <c r="D54">
        <v>0.13025600000000001</v>
      </c>
      <c r="E54" s="1" t="s">
        <v>367</v>
      </c>
      <c r="F54" s="1" t="s">
        <v>11</v>
      </c>
    </row>
    <row r="55" spans="1:6" hidden="1" x14ac:dyDescent="0.3">
      <c r="A55" s="1" t="s">
        <v>368</v>
      </c>
      <c r="B55" s="1" t="s">
        <v>369</v>
      </c>
      <c r="C55">
        <v>9812.6315790000008</v>
      </c>
      <c r="D55">
        <v>1.02E-4</v>
      </c>
      <c r="E55" s="1" t="s">
        <v>370</v>
      </c>
      <c r="F55" s="1" t="s">
        <v>11</v>
      </c>
    </row>
    <row r="56" spans="1:6" hidden="1" x14ac:dyDescent="0.3">
      <c r="A56" s="1" t="s">
        <v>371</v>
      </c>
      <c r="B56" s="1" t="s">
        <v>372</v>
      </c>
      <c r="C56">
        <v>207.84838400000001</v>
      </c>
      <c r="D56">
        <v>4.8110000000000002E-3</v>
      </c>
      <c r="E56" s="1" t="s">
        <v>373</v>
      </c>
      <c r="F56" s="1" t="s">
        <v>11</v>
      </c>
    </row>
    <row r="57" spans="1:6" hidden="1" x14ac:dyDescent="0.3">
      <c r="A57" s="1" t="s">
        <v>374</v>
      </c>
      <c r="B57" s="1" t="s">
        <v>375</v>
      </c>
      <c r="C57">
        <v>87.736470999999995</v>
      </c>
      <c r="D57">
        <v>1.1398E-2</v>
      </c>
      <c r="E57" s="1" t="s">
        <v>376</v>
      </c>
      <c r="F57" s="1" t="s">
        <v>11</v>
      </c>
    </row>
    <row r="58" spans="1:6" hidden="1" x14ac:dyDescent="0.3">
      <c r="A58" s="1" t="s">
        <v>377</v>
      </c>
      <c r="B58" s="1" t="s">
        <v>378</v>
      </c>
      <c r="C58">
        <v>23.917895999999999</v>
      </c>
      <c r="D58">
        <v>4.181E-2</v>
      </c>
      <c r="E58" s="1" t="s">
        <v>379</v>
      </c>
      <c r="F58" s="1" t="s">
        <v>11</v>
      </c>
    </row>
    <row r="59" spans="1:6" hidden="1" x14ac:dyDescent="0.3">
      <c r="A59" s="1" t="s">
        <v>380</v>
      </c>
      <c r="B59" s="1" t="s">
        <v>381</v>
      </c>
      <c r="C59">
        <v>7.76614</v>
      </c>
      <c r="D59">
        <v>0.12876399999999999</v>
      </c>
      <c r="E59" s="1" t="s">
        <v>382</v>
      </c>
      <c r="F59" s="1" t="s">
        <v>11</v>
      </c>
    </row>
    <row r="60" spans="1:6" hidden="1" x14ac:dyDescent="0.3">
      <c r="A60" s="1" t="s">
        <v>383</v>
      </c>
      <c r="B60" s="1" t="s">
        <v>384</v>
      </c>
      <c r="C60">
        <v>290.68888500000003</v>
      </c>
      <c r="D60">
        <v>3.4399999999999999E-3</v>
      </c>
      <c r="E60" s="1" t="s">
        <v>385</v>
      </c>
      <c r="F60" s="1" t="s">
        <v>11</v>
      </c>
    </row>
    <row r="61" spans="1:6" hidden="1" x14ac:dyDescent="0.3">
      <c r="A61" s="1" t="s">
        <v>386</v>
      </c>
      <c r="B61" s="1" t="s">
        <v>387</v>
      </c>
      <c r="C61">
        <v>124.423498</v>
      </c>
      <c r="D61">
        <v>8.0370000000000007E-3</v>
      </c>
      <c r="E61" s="1" t="s">
        <v>388</v>
      </c>
      <c r="F61" s="1" t="s">
        <v>11</v>
      </c>
    </row>
    <row r="62" spans="1:6" x14ac:dyDescent="0.3">
      <c r="A62" s="1" t="s">
        <v>389</v>
      </c>
      <c r="B62" s="1" t="s">
        <v>390</v>
      </c>
      <c r="C62">
        <v>73.137557999999999</v>
      </c>
      <c r="D62">
        <v>1.3672999999999999E-2</v>
      </c>
      <c r="E62" s="1" t="s">
        <v>391</v>
      </c>
      <c r="F62" s="1" t="s">
        <v>11</v>
      </c>
    </row>
    <row r="63" spans="1:6" hidden="1" x14ac:dyDescent="0.3">
      <c r="A63" s="1" t="s">
        <v>392</v>
      </c>
      <c r="B63" s="1" t="s">
        <v>393</v>
      </c>
      <c r="C63">
        <v>14294.196988</v>
      </c>
      <c r="D63">
        <v>6.9999999999999994E-5</v>
      </c>
      <c r="E63" s="1" t="s">
        <v>394</v>
      </c>
      <c r="F63" s="1" t="s">
        <v>11</v>
      </c>
    </row>
    <row r="64" spans="1:6" hidden="1" x14ac:dyDescent="0.3">
      <c r="A64" s="1" t="s">
        <v>395</v>
      </c>
      <c r="B64" s="1" t="s">
        <v>396</v>
      </c>
      <c r="C64">
        <v>41813.514285999998</v>
      </c>
      <c r="D64">
        <v>2.4000000000000001E-5</v>
      </c>
      <c r="E64" s="1" t="s">
        <v>397</v>
      </c>
      <c r="F64" s="1" t="s">
        <v>11</v>
      </c>
    </row>
    <row r="65" spans="1:6" hidden="1" x14ac:dyDescent="0.3">
      <c r="A65" s="1" t="s">
        <v>398</v>
      </c>
      <c r="B65" s="1" t="s">
        <v>399</v>
      </c>
      <c r="C65">
        <v>1451.334914</v>
      </c>
      <c r="D65">
        <v>6.8900000000000005E-4</v>
      </c>
      <c r="E65" s="1" t="s">
        <v>400</v>
      </c>
      <c r="F65" s="1" t="s">
        <v>11</v>
      </c>
    </row>
    <row r="66" spans="1:6" hidden="1" x14ac:dyDescent="0.3">
      <c r="A66" s="1" t="s">
        <v>401</v>
      </c>
      <c r="B66" s="1" t="s">
        <v>402</v>
      </c>
      <c r="C66">
        <v>3.2836560000000001</v>
      </c>
      <c r="D66">
        <v>0.304539</v>
      </c>
      <c r="E66" s="1" t="s">
        <v>403</v>
      </c>
      <c r="F66" s="1" t="s">
        <v>11</v>
      </c>
    </row>
    <row r="67" spans="1:6" hidden="1" x14ac:dyDescent="0.3">
      <c r="A67" s="1" t="s">
        <v>404</v>
      </c>
      <c r="B67" s="1" t="s">
        <v>405</v>
      </c>
      <c r="C67">
        <v>150.354839</v>
      </c>
      <c r="D67">
        <v>6.6509999999999998E-3</v>
      </c>
      <c r="E67" s="1" t="s">
        <v>406</v>
      </c>
      <c r="F67" s="1" t="s">
        <v>11</v>
      </c>
    </row>
    <row r="68" spans="1:6" hidden="1" x14ac:dyDescent="0.3">
      <c r="A68" s="1" t="s">
        <v>407</v>
      </c>
      <c r="B68" s="1" t="s">
        <v>408</v>
      </c>
      <c r="C68">
        <v>0.70792600000000006</v>
      </c>
      <c r="D68">
        <v>1.412577</v>
      </c>
      <c r="E68" s="1" t="s">
        <v>409</v>
      </c>
      <c r="F68" s="1" t="s">
        <v>11</v>
      </c>
    </row>
    <row r="69" spans="1:6" hidden="1" x14ac:dyDescent="0.3">
      <c r="A69" s="1" t="s">
        <v>410</v>
      </c>
      <c r="B69" s="1" t="s">
        <v>411</v>
      </c>
      <c r="C69">
        <v>426.46999</v>
      </c>
      <c r="D69">
        <v>2.3449999999999999E-3</v>
      </c>
      <c r="E69" s="1" t="s">
        <v>412</v>
      </c>
      <c r="F69" s="1" t="s">
        <v>11</v>
      </c>
    </row>
    <row r="70" spans="1:6" hidden="1" x14ac:dyDescent="0.3">
      <c r="A70" s="1" t="s">
        <v>413</v>
      </c>
      <c r="B70" s="1" t="s">
        <v>414</v>
      </c>
      <c r="C70">
        <v>106.406415</v>
      </c>
      <c r="D70">
        <v>9.3980000000000001E-3</v>
      </c>
      <c r="E70" s="1" t="s">
        <v>415</v>
      </c>
      <c r="F70" s="1" t="s">
        <v>11</v>
      </c>
    </row>
    <row r="71" spans="1:6" hidden="1" x14ac:dyDescent="0.3">
      <c r="A71" s="1" t="s">
        <v>416</v>
      </c>
      <c r="B71" s="1" t="s">
        <v>417</v>
      </c>
      <c r="C71">
        <v>0.30088300000000001</v>
      </c>
      <c r="D71">
        <v>3.3235489999999999</v>
      </c>
      <c r="E71" s="1" t="s">
        <v>418</v>
      </c>
      <c r="F71" s="1" t="s">
        <v>11</v>
      </c>
    </row>
    <row r="72" spans="1:6" hidden="1" x14ac:dyDescent="0.3">
      <c r="A72" s="1" t="s">
        <v>419</v>
      </c>
      <c r="B72" s="1" t="s">
        <v>420</v>
      </c>
      <c r="C72">
        <v>84.421221000000003</v>
      </c>
      <c r="D72">
        <v>1.1845E-2</v>
      </c>
      <c r="E72" s="1" t="s">
        <v>421</v>
      </c>
      <c r="F72" s="1" t="s">
        <v>11</v>
      </c>
    </row>
    <row r="73" spans="1:6" hidden="1" x14ac:dyDescent="0.3">
      <c r="A73" s="1" t="s">
        <v>422</v>
      </c>
      <c r="B73" s="1" t="s">
        <v>423</v>
      </c>
      <c r="C73">
        <v>9392.4433250000002</v>
      </c>
      <c r="D73">
        <v>1.06E-4</v>
      </c>
      <c r="E73" s="1" t="s">
        <v>424</v>
      </c>
      <c r="F73" s="1" t="s">
        <v>11</v>
      </c>
    </row>
    <row r="74" spans="1:6" hidden="1" x14ac:dyDescent="0.3">
      <c r="A74" s="1" t="s">
        <v>425</v>
      </c>
      <c r="B74" s="1" t="s">
        <v>426</v>
      </c>
      <c r="C74">
        <v>1501.62969</v>
      </c>
      <c r="D74">
        <v>6.6600000000000003E-4</v>
      </c>
      <c r="E74" s="1" t="s">
        <v>427</v>
      </c>
      <c r="F74" s="1" t="s">
        <v>11</v>
      </c>
    </row>
    <row r="75" spans="1:6" hidden="1" x14ac:dyDescent="0.3">
      <c r="A75" s="1" t="s">
        <v>428</v>
      </c>
      <c r="B75" s="1" t="s">
        <v>429</v>
      </c>
      <c r="C75">
        <v>13.918626</v>
      </c>
      <c r="D75">
        <v>7.1845999999999993E-2</v>
      </c>
      <c r="E75" s="1" t="s">
        <v>430</v>
      </c>
      <c r="F75" s="1" t="s">
        <v>11</v>
      </c>
    </row>
    <row r="76" spans="1:6" hidden="1" x14ac:dyDescent="0.3">
      <c r="A76" s="1" t="s">
        <v>431</v>
      </c>
      <c r="B76" s="1" t="s">
        <v>432</v>
      </c>
      <c r="C76">
        <v>171.045872</v>
      </c>
      <c r="D76">
        <v>5.8459999999999996E-3</v>
      </c>
      <c r="E76" s="1" t="s">
        <v>433</v>
      </c>
      <c r="F76" s="1" t="s">
        <v>11</v>
      </c>
    </row>
    <row r="77" spans="1:6" hidden="1" x14ac:dyDescent="0.3">
      <c r="A77" s="1" t="s">
        <v>434</v>
      </c>
      <c r="B77" s="1" t="s">
        <v>435</v>
      </c>
      <c r="C77">
        <v>4.4503709999999996</v>
      </c>
      <c r="D77">
        <v>0.22470000000000001</v>
      </c>
      <c r="E77" s="1" t="s">
        <v>436</v>
      </c>
      <c r="F77" s="1" t="s">
        <v>11</v>
      </c>
    </row>
    <row r="78" spans="1:6" hidden="1" x14ac:dyDescent="0.3">
      <c r="A78" s="1" t="s">
        <v>437</v>
      </c>
      <c r="B78" s="1" t="s">
        <v>438</v>
      </c>
      <c r="C78">
        <v>7.9658189999999998</v>
      </c>
      <c r="D78">
        <v>0.12553600000000001</v>
      </c>
      <c r="E78" s="1" t="s">
        <v>439</v>
      </c>
      <c r="F78" s="1" t="s">
        <v>11</v>
      </c>
    </row>
    <row r="79" spans="1:6" hidden="1" x14ac:dyDescent="0.3">
      <c r="A79" s="1" t="s">
        <v>440</v>
      </c>
      <c r="B79" s="1" t="s">
        <v>441</v>
      </c>
      <c r="C79">
        <v>50.526429999999998</v>
      </c>
      <c r="D79">
        <v>1.9792000000000001E-2</v>
      </c>
      <c r="E79" s="1" t="s">
        <v>442</v>
      </c>
      <c r="F79" s="1" t="s">
        <v>11</v>
      </c>
    </row>
    <row r="80" spans="1:6" hidden="1" x14ac:dyDescent="0.3">
      <c r="A80" s="1" t="s">
        <v>443</v>
      </c>
      <c r="B80" s="1" t="s">
        <v>444</v>
      </c>
      <c r="C80">
        <v>3743.7750999999998</v>
      </c>
      <c r="D80">
        <v>2.6699999999999998E-4</v>
      </c>
      <c r="E80" s="1" t="s">
        <v>445</v>
      </c>
      <c r="F80" s="1" t="s">
        <v>11</v>
      </c>
    </row>
    <row r="81" spans="1:6" hidden="1" x14ac:dyDescent="0.3">
      <c r="A81" s="1" t="s">
        <v>446</v>
      </c>
      <c r="B81" s="1" t="s">
        <v>447</v>
      </c>
      <c r="C81">
        <v>792.350191</v>
      </c>
      <c r="D81">
        <v>1.2620000000000001E-3</v>
      </c>
      <c r="E81" s="1" t="s">
        <v>448</v>
      </c>
      <c r="F81" s="1" t="s">
        <v>11</v>
      </c>
    </row>
    <row r="82" spans="1:6" hidden="1" x14ac:dyDescent="0.3">
      <c r="A82" s="1" t="s">
        <v>449</v>
      </c>
      <c r="B82" s="1" t="s">
        <v>450</v>
      </c>
      <c r="C82">
        <v>4.1266369999999997</v>
      </c>
      <c r="D82">
        <v>0.24232799999999999</v>
      </c>
      <c r="E82" s="1" t="s">
        <v>451</v>
      </c>
      <c r="F82" s="1" t="s">
        <v>11</v>
      </c>
    </row>
    <row r="83" spans="1:6" hidden="1" x14ac:dyDescent="0.3">
      <c r="A83" s="1" t="s">
        <v>452</v>
      </c>
      <c r="B83" s="1" t="s">
        <v>453</v>
      </c>
      <c r="C83">
        <v>15.389187</v>
      </c>
      <c r="D83">
        <v>6.4980999999999997E-2</v>
      </c>
      <c r="E83" s="1" t="s">
        <v>454</v>
      </c>
      <c r="F83" s="1" t="s">
        <v>11</v>
      </c>
    </row>
    <row r="84" spans="1:6" hidden="1" x14ac:dyDescent="0.3">
      <c r="A84" s="1" t="s">
        <v>455</v>
      </c>
      <c r="B84" s="1" t="s">
        <v>456</v>
      </c>
      <c r="C84">
        <v>35.980041</v>
      </c>
      <c r="D84">
        <v>2.7793000000000002E-2</v>
      </c>
      <c r="E84" s="1" t="s">
        <v>457</v>
      </c>
      <c r="F84" s="1" t="s">
        <v>11</v>
      </c>
    </row>
    <row r="85" spans="1:6" hidden="1" x14ac:dyDescent="0.3">
      <c r="A85" s="1" t="s">
        <v>458</v>
      </c>
      <c r="B85" s="1" t="s">
        <v>459</v>
      </c>
      <c r="C85">
        <v>35.682296999999998</v>
      </c>
      <c r="D85">
        <v>2.8025000000000001E-2</v>
      </c>
      <c r="E85" s="1" t="s">
        <v>460</v>
      </c>
      <c r="F85" s="1" t="s">
        <v>11</v>
      </c>
    </row>
    <row r="86" spans="1:6" hidden="1" x14ac:dyDescent="0.3">
      <c r="A86" s="1" t="s">
        <v>461</v>
      </c>
      <c r="B86" s="1" t="s">
        <v>462</v>
      </c>
      <c r="C86">
        <v>40.693995999999999</v>
      </c>
      <c r="D86">
        <v>2.4573999999999999E-2</v>
      </c>
      <c r="E86" s="1" t="s">
        <v>463</v>
      </c>
      <c r="F86" s="1" t="s">
        <v>11</v>
      </c>
    </row>
    <row r="87" spans="1:6" hidden="1" x14ac:dyDescent="0.3">
      <c r="A87" s="1" t="s">
        <v>464</v>
      </c>
      <c r="B87" s="1" t="s">
        <v>465</v>
      </c>
      <c r="C87">
        <v>19.850642000000001</v>
      </c>
      <c r="D87">
        <v>5.0375999999999997E-2</v>
      </c>
      <c r="E87" s="1" t="s">
        <v>466</v>
      </c>
      <c r="F87" s="1" t="s">
        <v>11</v>
      </c>
    </row>
    <row r="88" spans="1:6" hidden="1" x14ac:dyDescent="0.3">
      <c r="A88" s="1" t="s">
        <v>467</v>
      </c>
      <c r="B88" s="1" t="s">
        <v>468</v>
      </c>
      <c r="C88">
        <v>17.691520000000001</v>
      </c>
      <c r="D88">
        <v>5.6523999999999998E-2</v>
      </c>
      <c r="E88" s="1" t="s">
        <v>469</v>
      </c>
      <c r="F88" s="1" t="s">
        <v>11</v>
      </c>
    </row>
    <row r="89" spans="1:6" hidden="1" x14ac:dyDescent="0.3">
      <c r="A89" s="1" t="s">
        <v>470</v>
      </c>
      <c r="B89" s="1" t="s">
        <v>471</v>
      </c>
      <c r="C89">
        <v>2833.4346500000001</v>
      </c>
      <c r="D89">
        <v>3.5300000000000002E-4</v>
      </c>
      <c r="E89" s="1" t="s">
        <v>472</v>
      </c>
      <c r="F89" s="1" t="s">
        <v>11</v>
      </c>
    </row>
    <row r="90" spans="1:6" hidden="1" x14ac:dyDescent="0.3">
      <c r="A90" s="1" t="s">
        <v>473</v>
      </c>
      <c r="B90" s="1" t="s">
        <v>474</v>
      </c>
      <c r="C90">
        <v>8.8335620000000006</v>
      </c>
      <c r="D90">
        <v>0.113205</v>
      </c>
      <c r="E90" s="1" t="s">
        <v>475</v>
      </c>
      <c r="F90" s="1" t="s">
        <v>11</v>
      </c>
    </row>
    <row r="91" spans="1:6" hidden="1" x14ac:dyDescent="0.3">
      <c r="A91" s="1" t="s">
        <v>476</v>
      </c>
      <c r="B91" s="1" t="s">
        <v>477</v>
      </c>
      <c r="C91">
        <v>58.445141</v>
      </c>
      <c r="D91">
        <v>1.711E-2</v>
      </c>
      <c r="E91" s="1" t="s">
        <v>478</v>
      </c>
      <c r="F91" s="1" t="s">
        <v>11</v>
      </c>
    </row>
    <row r="92" spans="1:6" hidden="1" x14ac:dyDescent="0.3">
      <c r="A92" s="1" t="s">
        <v>479</v>
      </c>
      <c r="B92" s="1" t="s">
        <v>480</v>
      </c>
      <c r="C92">
        <v>1550.43659</v>
      </c>
      <c r="D92">
        <v>6.4499999999999996E-4</v>
      </c>
      <c r="E92" s="1" t="s">
        <v>481</v>
      </c>
      <c r="F92" s="1" t="s">
        <v>11</v>
      </c>
    </row>
    <row r="93" spans="1:6" hidden="1" x14ac:dyDescent="0.3">
      <c r="A93" s="1" t="s">
        <v>482</v>
      </c>
      <c r="B93" s="1" t="s">
        <v>483</v>
      </c>
      <c r="C93">
        <v>13.923824</v>
      </c>
      <c r="D93">
        <v>7.1818999999999994E-2</v>
      </c>
      <c r="E93" s="1" t="s">
        <v>484</v>
      </c>
      <c r="F93" s="1" t="s">
        <v>11</v>
      </c>
    </row>
    <row r="94" spans="1:6" hidden="1" x14ac:dyDescent="0.3">
      <c r="A94" s="1" t="s">
        <v>485</v>
      </c>
      <c r="B94" s="1" t="s">
        <v>486</v>
      </c>
      <c r="C94">
        <v>116.978291</v>
      </c>
      <c r="D94">
        <v>8.5489999999999993E-3</v>
      </c>
      <c r="E94" s="1" t="s">
        <v>487</v>
      </c>
      <c r="F94" s="1" t="s">
        <v>11</v>
      </c>
    </row>
    <row r="95" spans="1:6" hidden="1" x14ac:dyDescent="0.3">
      <c r="A95" s="1" t="s">
        <v>488</v>
      </c>
      <c r="B95" s="1" t="s">
        <v>489</v>
      </c>
      <c r="C95">
        <v>1.7866789999999999</v>
      </c>
      <c r="D95">
        <v>0.559697</v>
      </c>
      <c r="E95" s="1" t="s">
        <v>490</v>
      </c>
      <c r="F95" s="1" t="s">
        <v>11</v>
      </c>
    </row>
    <row r="96" spans="1:6" hidden="1" x14ac:dyDescent="0.3">
      <c r="A96" s="1" t="s">
        <v>491</v>
      </c>
      <c r="B96" s="1" t="s">
        <v>492</v>
      </c>
      <c r="C96">
        <v>27.970513</v>
      </c>
      <c r="D96">
        <v>3.5751999999999999E-2</v>
      </c>
      <c r="E96" s="1" t="s">
        <v>493</v>
      </c>
      <c r="F96" s="1" t="s">
        <v>11</v>
      </c>
    </row>
    <row r="97" spans="1:6" hidden="1" x14ac:dyDescent="0.3">
      <c r="A97" s="1" t="s">
        <v>494</v>
      </c>
      <c r="B97" s="1" t="s">
        <v>495</v>
      </c>
      <c r="C97">
        <v>3.4836360000000002</v>
      </c>
      <c r="D97">
        <v>0.28705599999999998</v>
      </c>
      <c r="E97" s="1" t="s">
        <v>496</v>
      </c>
      <c r="F97" s="1" t="s">
        <v>11</v>
      </c>
    </row>
    <row r="98" spans="1:6" hidden="1" x14ac:dyDescent="0.3">
      <c r="A98" s="1" t="s">
        <v>497</v>
      </c>
      <c r="B98" s="1" t="s">
        <v>498</v>
      </c>
      <c r="C98">
        <v>1.383273</v>
      </c>
      <c r="D98">
        <v>0.72292299999999998</v>
      </c>
      <c r="E98" s="1" t="s">
        <v>499</v>
      </c>
      <c r="F98" s="1" t="s">
        <v>11</v>
      </c>
    </row>
    <row r="99" spans="1:6" hidden="1" x14ac:dyDescent="0.3">
      <c r="A99" s="1" t="s">
        <v>500</v>
      </c>
      <c r="B99" s="1" t="s">
        <v>501</v>
      </c>
      <c r="C99">
        <v>34.918681999999997</v>
      </c>
      <c r="D99">
        <v>2.8638E-2</v>
      </c>
      <c r="E99" s="1" t="s">
        <v>502</v>
      </c>
      <c r="F99" s="1" t="s">
        <v>11</v>
      </c>
    </row>
    <row r="100" spans="1:6" hidden="1" x14ac:dyDescent="0.3">
      <c r="A100" s="1" t="s">
        <v>503</v>
      </c>
      <c r="B100" s="1" t="s">
        <v>504</v>
      </c>
      <c r="C100">
        <v>379.41429299999999</v>
      </c>
      <c r="D100">
        <v>2.6359999999999999E-3</v>
      </c>
      <c r="E100" s="1" t="s">
        <v>505</v>
      </c>
      <c r="F100" s="1" t="s">
        <v>11</v>
      </c>
    </row>
    <row r="101" spans="1:6" hidden="1" x14ac:dyDescent="0.3">
      <c r="A101" s="1" t="s">
        <v>506</v>
      </c>
      <c r="B101" s="1" t="s">
        <v>507</v>
      </c>
      <c r="C101">
        <v>8.2689509999999995</v>
      </c>
      <c r="D101">
        <v>0.120934</v>
      </c>
      <c r="E101" s="1" t="s">
        <v>508</v>
      </c>
      <c r="F101" s="1" t="s">
        <v>11</v>
      </c>
    </row>
    <row r="102" spans="1:6" hidden="1" x14ac:dyDescent="0.3">
      <c r="A102" s="1" t="s">
        <v>509</v>
      </c>
      <c r="B102" s="1" t="s">
        <v>510</v>
      </c>
      <c r="C102">
        <v>0.38412000000000002</v>
      </c>
      <c r="D102">
        <v>2.6033499999999998</v>
      </c>
      <c r="E102" s="1" t="s">
        <v>511</v>
      </c>
      <c r="F102" s="1" t="s">
        <v>11</v>
      </c>
    </row>
    <row r="103" spans="1:6" hidden="1" x14ac:dyDescent="0.3">
      <c r="A103" s="1" t="s">
        <v>512</v>
      </c>
      <c r="B103" s="1" t="s">
        <v>513</v>
      </c>
      <c r="C103">
        <v>151.99970300000001</v>
      </c>
      <c r="D103">
        <v>6.5789999999999998E-3</v>
      </c>
      <c r="E103" s="1" t="s">
        <v>514</v>
      </c>
      <c r="F103" s="1" t="s">
        <v>11</v>
      </c>
    </row>
    <row r="104" spans="1:6" hidden="1" x14ac:dyDescent="0.3">
      <c r="A104" s="1" t="s">
        <v>515</v>
      </c>
      <c r="B104" s="1" t="s">
        <v>516</v>
      </c>
      <c r="C104">
        <v>0.99551500000000004</v>
      </c>
      <c r="D104">
        <v>1.004505</v>
      </c>
      <c r="E104" s="1" t="s">
        <v>517</v>
      </c>
      <c r="F104" s="1" t="s">
        <v>11</v>
      </c>
    </row>
    <row r="105" spans="1:6" hidden="1" x14ac:dyDescent="0.3">
      <c r="A105" s="1" t="s">
        <v>518</v>
      </c>
      <c r="B105" s="1" t="s">
        <v>519</v>
      </c>
      <c r="C105">
        <v>3.5089510000000002</v>
      </c>
      <c r="D105">
        <v>0.28498499999999999</v>
      </c>
      <c r="E105" s="1" t="s">
        <v>520</v>
      </c>
      <c r="F105" s="1" t="s">
        <v>11</v>
      </c>
    </row>
    <row r="106" spans="1:6" hidden="1" x14ac:dyDescent="0.3">
      <c r="A106" s="1" t="s">
        <v>521</v>
      </c>
      <c r="B106" s="1" t="s">
        <v>522</v>
      </c>
      <c r="C106">
        <v>6692.030812</v>
      </c>
      <c r="D106">
        <v>1.4899999999999999E-4</v>
      </c>
      <c r="E106" s="1" t="s">
        <v>523</v>
      </c>
      <c r="F106" s="1" t="s">
        <v>11</v>
      </c>
    </row>
    <row r="107" spans="1:6" hidden="1" x14ac:dyDescent="0.3">
      <c r="A107" s="1" t="s">
        <v>524</v>
      </c>
      <c r="B107" s="1" t="s">
        <v>525</v>
      </c>
      <c r="C107">
        <v>3.700358</v>
      </c>
      <c r="D107">
        <v>0.27024399999999998</v>
      </c>
      <c r="E107" s="1" t="s">
        <v>526</v>
      </c>
      <c r="F107" s="1" t="s">
        <v>11</v>
      </c>
    </row>
    <row r="108" spans="1:6" hidden="1" x14ac:dyDescent="0.3">
      <c r="A108" s="1" t="s">
        <v>527</v>
      </c>
      <c r="B108" s="1" t="s">
        <v>528</v>
      </c>
      <c r="C108">
        <v>47.908752999999997</v>
      </c>
      <c r="D108">
        <v>2.0872999999999999E-2</v>
      </c>
      <c r="E108" s="1" t="s">
        <v>529</v>
      </c>
      <c r="F108" s="1" t="s">
        <v>11</v>
      </c>
    </row>
    <row r="109" spans="1:6" hidden="1" x14ac:dyDescent="0.3">
      <c r="A109" s="1" t="s">
        <v>530</v>
      </c>
      <c r="B109" s="1" t="s">
        <v>531</v>
      </c>
      <c r="C109">
        <v>3.7329949999999998</v>
      </c>
      <c r="D109">
        <v>0.26788099999999998</v>
      </c>
      <c r="E109" s="1" t="s">
        <v>532</v>
      </c>
      <c r="F109" s="1" t="s">
        <v>11</v>
      </c>
    </row>
    <row r="110" spans="1:6" hidden="1" x14ac:dyDescent="0.3">
      <c r="A110" s="1" t="s">
        <v>533</v>
      </c>
      <c r="B110" s="1" t="s">
        <v>534</v>
      </c>
      <c r="C110">
        <v>3.6438250000000001</v>
      </c>
      <c r="D110">
        <v>0.27443699999999999</v>
      </c>
      <c r="E110" s="1" t="s">
        <v>535</v>
      </c>
      <c r="F110" s="1" t="s">
        <v>11</v>
      </c>
    </row>
    <row r="111" spans="1:6" hidden="1" x14ac:dyDescent="0.3">
      <c r="A111" s="1" t="s">
        <v>536</v>
      </c>
      <c r="B111" s="1" t="s">
        <v>537</v>
      </c>
      <c r="C111">
        <v>4.0567780000000004</v>
      </c>
      <c r="D111">
        <v>0.246501</v>
      </c>
      <c r="E111" s="1" t="s">
        <v>538</v>
      </c>
      <c r="F111" s="1" t="s">
        <v>11</v>
      </c>
    </row>
    <row r="112" spans="1:6" hidden="1" x14ac:dyDescent="0.3">
      <c r="A112" s="1" t="s">
        <v>539</v>
      </c>
      <c r="B112" s="1" t="s">
        <v>540</v>
      </c>
      <c r="C112">
        <v>73.966503000000003</v>
      </c>
      <c r="D112">
        <v>1.3520000000000001E-2</v>
      </c>
      <c r="E112" s="1" t="s">
        <v>541</v>
      </c>
      <c r="F112" s="1" t="s">
        <v>11</v>
      </c>
    </row>
    <row r="113" spans="1:6" hidden="1" x14ac:dyDescent="0.3">
      <c r="A113" s="1" t="s">
        <v>542</v>
      </c>
      <c r="B113" s="1" t="s">
        <v>543</v>
      </c>
      <c r="C113">
        <v>996.47247500000003</v>
      </c>
      <c r="D113">
        <v>1.0039999999999999E-3</v>
      </c>
      <c r="E113" s="1" t="s">
        <v>544</v>
      </c>
      <c r="F113" s="1" t="s">
        <v>11</v>
      </c>
    </row>
    <row r="114" spans="1:6" hidden="1" x14ac:dyDescent="0.3">
      <c r="A114" s="1" t="s">
        <v>545</v>
      </c>
      <c r="B114" s="1" t="s">
        <v>546</v>
      </c>
      <c r="C114">
        <v>8.7141859999999998</v>
      </c>
      <c r="D114">
        <v>0.114755</v>
      </c>
      <c r="E114" s="1" t="s">
        <v>547</v>
      </c>
      <c r="F114" s="1" t="s">
        <v>11</v>
      </c>
    </row>
    <row r="115" spans="1:6" hidden="1" x14ac:dyDescent="0.3">
      <c r="A115" s="1" t="s">
        <v>548</v>
      </c>
      <c r="B115" s="1" t="s">
        <v>549</v>
      </c>
      <c r="C115">
        <v>2.4857010000000002</v>
      </c>
      <c r="D115">
        <v>0.40230100000000002</v>
      </c>
      <c r="E115" s="1" t="s">
        <v>550</v>
      </c>
      <c r="F115" s="1" t="s">
        <v>11</v>
      </c>
    </row>
    <row r="116" spans="1:6" hidden="1" x14ac:dyDescent="0.3">
      <c r="A116" s="1" t="s">
        <v>551</v>
      </c>
      <c r="B116" s="1" t="s">
        <v>552</v>
      </c>
      <c r="C116">
        <v>21.491643</v>
      </c>
      <c r="D116">
        <v>4.6530000000000002E-2</v>
      </c>
      <c r="E116" s="1" t="s">
        <v>553</v>
      </c>
      <c r="F116" s="1" t="s">
        <v>11</v>
      </c>
    </row>
    <row r="117" spans="1:6" hidden="1" x14ac:dyDescent="0.3">
      <c r="A117" s="1" t="s">
        <v>554</v>
      </c>
      <c r="B117" s="1" t="s">
        <v>555</v>
      </c>
      <c r="C117">
        <v>3.7499630000000002</v>
      </c>
      <c r="D117">
        <v>0.26666899999999999</v>
      </c>
      <c r="E117" s="1" t="s">
        <v>556</v>
      </c>
      <c r="F117" s="1" t="s">
        <v>11</v>
      </c>
    </row>
    <row r="118" spans="1:6" hidden="1" x14ac:dyDescent="0.3">
      <c r="A118" s="1" t="s">
        <v>557</v>
      </c>
      <c r="B118" s="1" t="s">
        <v>558</v>
      </c>
      <c r="C118">
        <v>96.590784999999997</v>
      </c>
      <c r="D118">
        <v>1.0352999999999999E-2</v>
      </c>
      <c r="E118" s="1" t="s">
        <v>559</v>
      </c>
      <c r="F118" s="1" t="s">
        <v>11</v>
      </c>
    </row>
    <row r="119" spans="1:6" hidden="1" x14ac:dyDescent="0.3">
      <c r="A119" s="1" t="s">
        <v>560</v>
      </c>
      <c r="B119" s="1" t="s">
        <v>561</v>
      </c>
      <c r="C119">
        <v>15.351172999999999</v>
      </c>
      <c r="D119">
        <v>6.5142000000000005E-2</v>
      </c>
      <c r="E119" s="1" t="s">
        <v>562</v>
      </c>
      <c r="F119" s="1" t="s">
        <v>11</v>
      </c>
    </row>
    <row r="120" spans="1:6" hidden="1" x14ac:dyDescent="0.3">
      <c r="A120" s="1" t="s">
        <v>563</v>
      </c>
      <c r="B120" s="1" t="s">
        <v>564</v>
      </c>
      <c r="C120">
        <v>10215.890411</v>
      </c>
      <c r="D120">
        <v>9.7999999999999997E-5</v>
      </c>
      <c r="E120" s="1" t="s">
        <v>565</v>
      </c>
      <c r="F120" s="1" t="s">
        <v>11</v>
      </c>
    </row>
    <row r="121" spans="1:6" hidden="1" x14ac:dyDescent="0.3">
      <c r="A121" s="1" t="s">
        <v>566</v>
      </c>
      <c r="B121" s="1" t="s">
        <v>567</v>
      </c>
      <c r="C121">
        <v>1.333081</v>
      </c>
      <c r="D121">
        <v>0.75014199999999998</v>
      </c>
      <c r="E121" s="1" t="s">
        <v>568</v>
      </c>
      <c r="F121" s="1" t="s">
        <v>11</v>
      </c>
    </row>
    <row r="122" spans="1:6" hidden="1" x14ac:dyDescent="0.3">
      <c r="A122" s="1" t="s">
        <v>569</v>
      </c>
      <c r="B122" s="1" t="s">
        <v>570</v>
      </c>
      <c r="C122">
        <v>7.9454510000000003</v>
      </c>
      <c r="D122">
        <v>0.125858</v>
      </c>
      <c r="E122" s="1" t="s">
        <v>571</v>
      </c>
      <c r="F122" s="1" t="s">
        <v>11</v>
      </c>
    </row>
    <row r="123" spans="1:6" hidden="1" x14ac:dyDescent="0.3">
      <c r="A123" s="1" t="s">
        <v>572</v>
      </c>
      <c r="B123" s="1" t="s">
        <v>573</v>
      </c>
      <c r="C123">
        <v>575.87644799999998</v>
      </c>
      <c r="D123">
        <v>1.7359999999999999E-3</v>
      </c>
      <c r="E123" s="1" t="s">
        <v>574</v>
      </c>
      <c r="F123" s="1" t="s">
        <v>11</v>
      </c>
    </row>
    <row r="124" spans="1:6" hidden="1" x14ac:dyDescent="0.3">
      <c r="A124" s="1" t="s">
        <v>575</v>
      </c>
      <c r="B124" s="1" t="s">
        <v>576</v>
      </c>
      <c r="C124">
        <v>14.126166</v>
      </c>
      <c r="D124">
        <v>7.0791000000000007E-2</v>
      </c>
      <c r="E124" s="1" t="s">
        <v>577</v>
      </c>
      <c r="F124" s="1" t="s">
        <v>11</v>
      </c>
    </row>
    <row r="125" spans="1:6" hidden="1" x14ac:dyDescent="0.3">
      <c r="A125" s="1" t="s">
        <v>578</v>
      </c>
      <c r="B125" s="1" t="s">
        <v>579</v>
      </c>
      <c r="C125">
        <v>1131.8517360000001</v>
      </c>
      <c r="D125">
        <v>8.8400000000000002E-4</v>
      </c>
      <c r="E125" s="1" t="s">
        <v>580</v>
      </c>
      <c r="F125" s="1" t="s">
        <v>11</v>
      </c>
    </row>
    <row r="126" spans="1:6" hidden="1" x14ac:dyDescent="0.3">
      <c r="A126" s="1" t="s">
        <v>581</v>
      </c>
      <c r="B126" s="1" t="s">
        <v>582</v>
      </c>
      <c r="C126">
        <v>177.04762400000001</v>
      </c>
      <c r="D126">
        <v>5.6480000000000002E-3</v>
      </c>
      <c r="E126" s="1" t="s">
        <v>583</v>
      </c>
      <c r="F126" s="1" t="s">
        <v>11</v>
      </c>
    </row>
    <row r="127" spans="1:6" hidden="1" x14ac:dyDescent="0.3">
      <c r="A127" s="1" t="s">
        <v>584</v>
      </c>
      <c r="B127" s="1" t="s">
        <v>585</v>
      </c>
      <c r="C127">
        <v>195.59378899999999</v>
      </c>
      <c r="D127">
        <v>5.1130000000000004E-3</v>
      </c>
      <c r="E127" s="1" t="s">
        <v>586</v>
      </c>
      <c r="F127" s="1" t="s">
        <v>11</v>
      </c>
    </row>
    <row r="128" spans="1:6" hidden="1" x14ac:dyDescent="0.3">
      <c r="A128" s="1" t="s">
        <v>587</v>
      </c>
      <c r="B128" s="1" t="s">
        <v>588</v>
      </c>
      <c r="C128">
        <v>396.68085100000002</v>
      </c>
      <c r="D128">
        <v>2.5209999999999998E-3</v>
      </c>
      <c r="E128" s="1" t="s">
        <v>589</v>
      </c>
      <c r="F128" s="1" t="s">
        <v>11</v>
      </c>
    </row>
    <row r="129" spans="1:6" hidden="1" x14ac:dyDescent="0.3">
      <c r="A129" s="1" t="s">
        <v>590</v>
      </c>
      <c r="B129" s="1" t="s">
        <v>591</v>
      </c>
      <c r="C129">
        <v>14.086891</v>
      </c>
      <c r="D129">
        <v>7.0987999999999996E-2</v>
      </c>
      <c r="E129" s="1" t="s">
        <v>592</v>
      </c>
      <c r="F129" s="1" t="s">
        <v>11</v>
      </c>
    </row>
    <row r="130" spans="1:6" hidden="1" x14ac:dyDescent="0.3">
      <c r="A130" s="1" t="s">
        <v>593</v>
      </c>
      <c r="B130" s="1" t="s">
        <v>594</v>
      </c>
      <c r="C130">
        <v>13.923824</v>
      </c>
      <c r="D130">
        <v>7.1818999999999994E-2</v>
      </c>
      <c r="E130" s="1" t="s">
        <v>595</v>
      </c>
      <c r="F130" s="1" t="s">
        <v>11</v>
      </c>
    </row>
    <row r="131" spans="1:6" hidden="1" x14ac:dyDescent="0.3">
      <c r="A131" s="1" t="s">
        <v>596</v>
      </c>
      <c r="B131" s="1" t="s">
        <v>597</v>
      </c>
      <c r="C131">
        <v>8.3477589999999999</v>
      </c>
      <c r="D131">
        <v>0.119793</v>
      </c>
      <c r="E131" s="1" t="s">
        <v>598</v>
      </c>
      <c r="F131" s="1" t="s">
        <v>11</v>
      </c>
    </row>
    <row r="132" spans="1:6" hidden="1" x14ac:dyDescent="0.3">
      <c r="A132" s="1" t="s">
        <v>599</v>
      </c>
      <c r="B132" s="1" t="s">
        <v>600</v>
      </c>
      <c r="C132">
        <v>2485.8666669999998</v>
      </c>
      <c r="D132">
        <v>4.0200000000000001E-4</v>
      </c>
      <c r="E132" s="1" t="s">
        <v>601</v>
      </c>
      <c r="F132" s="1" t="s">
        <v>11</v>
      </c>
    </row>
    <row r="133" spans="1:6" hidden="1" x14ac:dyDescent="0.3">
      <c r="A133" s="1" t="s">
        <v>602</v>
      </c>
      <c r="B133" s="1" t="s">
        <v>603</v>
      </c>
      <c r="C133">
        <v>11.334465</v>
      </c>
      <c r="D133">
        <v>8.8225999999999999E-2</v>
      </c>
      <c r="E133" s="1" t="s">
        <v>604</v>
      </c>
      <c r="F133" s="1" t="s">
        <v>11</v>
      </c>
    </row>
    <row r="134" spans="1:6" hidden="1" x14ac:dyDescent="0.3">
      <c r="A134" s="1" t="s">
        <v>605</v>
      </c>
      <c r="B134" s="1" t="s">
        <v>606</v>
      </c>
      <c r="C134">
        <v>2308.8544889999998</v>
      </c>
      <c r="D134">
        <v>4.3300000000000001E-4</v>
      </c>
      <c r="E134" s="1" t="s">
        <v>607</v>
      </c>
      <c r="F134" s="1" t="s">
        <v>11</v>
      </c>
    </row>
    <row r="135" spans="1:6" hidden="1" x14ac:dyDescent="0.3">
      <c r="A135" s="1" t="s">
        <v>608</v>
      </c>
      <c r="B135" s="1" t="s">
        <v>609</v>
      </c>
      <c r="C135">
        <v>31.468212999999999</v>
      </c>
      <c r="D135">
        <v>3.1778000000000001E-2</v>
      </c>
      <c r="E135" s="1" t="s">
        <v>610</v>
      </c>
      <c r="F135" s="1" t="s">
        <v>11</v>
      </c>
    </row>
    <row r="136" spans="1:6" hidden="1" x14ac:dyDescent="0.3">
      <c r="A136" s="1" t="s">
        <v>611</v>
      </c>
      <c r="B136" s="1" t="s">
        <v>612</v>
      </c>
      <c r="C136">
        <v>2.2313450000000001</v>
      </c>
      <c r="D136">
        <v>0.44816</v>
      </c>
      <c r="E136" s="1" t="s">
        <v>613</v>
      </c>
      <c r="F136" s="1" t="s">
        <v>11</v>
      </c>
    </row>
    <row r="137" spans="1:6" hidden="1" x14ac:dyDescent="0.3">
      <c r="A137" s="1" t="s">
        <v>614</v>
      </c>
      <c r="B137" s="1" t="s">
        <v>615</v>
      </c>
      <c r="C137">
        <v>6.768561</v>
      </c>
      <c r="D137">
        <v>0.14774200000000001</v>
      </c>
      <c r="E137" s="1" t="s">
        <v>616</v>
      </c>
      <c r="F137" s="1" t="s">
        <v>11</v>
      </c>
    </row>
    <row r="138" spans="1:6" hidden="1" x14ac:dyDescent="0.3">
      <c r="A138" s="1" t="s">
        <v>617</v>
      </c>
      <c r="B138" s="1" t="s">
        <v>618</v>
      </c>
      <c r="C138">
        <v>2.7245710000000001</v>
      </c>
      <c r="D138">
        <v>0.36703000000000002</v>
      </c>
      <c r="E138" s="1" t="s">
        <v>619</v>
      </c>
      <c r="F138" s="1" t="s">
        <v>11</v>
      </c>
    </row>
    <row r="139" spans="1:6" hidden="1" x14ac:dyDescent="0.3">
      <c r="A139" s="1" t="s">
        <v>620</v>
      </c>
      <c r="B139" s="1" t="s">
        <v>621</v>
      </c>
      <c r="C139">
        <v>8.3494989999999998</v>
      </c>
      <c r="D139">
        <v>0.119768</v>
      </c>
      <c r="E139" s="1" t="s">
        <v>622</v>
      </c>
      <c r="F139" s="1" t="s">
        <v>11</v>
      </c>
    </row>
    <row r="140" spans="1:6" hidden="1" x14ac:dyDescent="0.3">
      <c r="A140" s="1" t="s">
        <v>623</v>
      </c>
      <c r="B140" s="1" t="s">
        <v>624</v>
      </c>
      <c r="C140">
        <v>3.6709999999999998</v>
      </c>
      <c r="D140">
        <v>0.27240500000000001</v>
      </c>
      <c r="E140" s="1" t="s">
        <v>625</v>
      </c>
      <c r="F140" s="1" t="s">
        <v>11</v>
      </c>
    </row>
    <row r="141" spans="1:6" hidden="1" x14ac:dyDescent="0.3">
      <c r="A141" s="1" t="s">
        <v>626</v>
      </c>
      <c r="B141" s="1" t="s">
        <v>627</v>
      </c>
      <c r="C141">
        <v>3524.3856329999999</v>
      </c>
      <c r="D141">
        <v>2.8400000000000002E-4</v>
      </c>
      <c r="E141" s="1" t="s">
        <v>628</v>
      </c>
      <c r="F141" s="1" t="s">
        <v>11</v>
      </c>
    </row>
    <row r="142" spans="1:6" hidden="1" x14ac:dyDescent="0.3">
      <c r="A142" s="1" t="s">
        <v>629</v>
      </c>
      <c r="B142" s="1" t="s">
        <v>630</v>
      </c>
      <c r="C142">
        <v>27.560977000000001</v>
      </c>
      <c r="D142">
        <v>3.6283000000000003E-2</v>
      </c>
      <c r="E142" s="1" t="s">
        <v>631</v>
      </c>
      <c r="F142" s="1" t="s">
        <v>11</v>
      </c>
    </row>
    <row r="143" spans="1:6" hidden="1" x14ac:dyDescent="0.3">
      <c r="A143" s="1" t="s">
        <v>632</v>
      </c>
      <c r="B143" s="1" t="s">
        <v>633</v>
      </c>
      <c r="C143">
        <v>43.947602000000003</v>
      </c>
      <c r="D143">
        <v>2.2754E-2</v>
      </c>
      <c r="E143" s="1" t="s">
        <v>634</v>
      </c>
      <c r="F143" s="1" t="s">
        <v>11</v>
      </c>
    </row>
    <row r="144" spans="1:6" hidden="1" x14ac:dyDescent="0.3">
      <c r="A144" s="1" t="s">
        <v>635</v>
      </c>
      <c r="B144" s="1" t="s">
        <v>636</v>
      </c>
      <c r="C144">
        <v>10498.785947</v>
      </c>
      <c r="D144">
        <v>9.5000000000000005E-5</v>
      </c>
      <c r="E144" s="1" t="s">
        <v>637</v>
      </c>
      <c r="F144" s="1" t="s">
        <v>11</v>
      </c>
    </row>
    <row r="145" spans="1:6" hidden="1" x14ac:dyDescent="0.3">
      <c r="A145" s="1" t="s">
        <v>638</v>
      </c>
      <c r="B145" s="1" t="s">
        <v>639</v>
      </c>
      <c r="C145">
        <v>106.686504</v>
      </c>
      <c r="D145">
        <v>9.3729999999999994E-3</v>
      </c>
      <c r="E145" s="1" t="s">
        <v>640</v>
      </c>
      <c r="F145" s="1" t="s">
        <v>11</v>
      </c>
    </row>
    <row r="146" spans="1:6" hidden="1" x14ac:dyDescent="0.3">
      <c r="A146" s="1" t="s">
        <v>641</v>
      </c>
      <c r="B146" s="1" t="s">
        <v>642</v>
      </c>
      <c r="C146">
        <v>2803609.0225559999</v>
      </c>
      <c r="D146">
        <v>0</v>
      </c>
      <c r="E146" s="1" t="s">
        <v>643</v>
      </c>
      <c r="F146" s="1" t="s">
        <v>11</v>
      </c>
    </row>
    <row r="147" spans="1:6" hidden="1" x14ac:dyDescent="0.3">
      <c r="A147" s="1" t="s">
        <v>644</v>
      </c>
      <c r="B147" s="1" t="s">
        <v>645</v>
      </c>
      <c r="C147">
        <v>23042.375889999999</v>
      </c>
      <c r="D147">
        <v>4.3000000000000002E-5</v>
      </c>
      <c r="E147" s="1" t="s">
        <v>646</v>
      </c>
      <c r="F147" s="1" t="s">
        <v>11</v>
      </c>
    </row>
    <row r="148" spans="1:6" hidden="1" x14ac:dyDescent="0.3">
      <c r="A148" s="1" t="s">
        <v>647</v>
      </c>
      <c r="B148" s="1" t="s">
        <v>648</v>
      </c>
      <c r="C148">
        <v>541.15162699999996</v>
      </c>
      <c r="D148">
        <v>1.848E-3</v>
      </c>
      <c r="E148" s="1" t="s">
        <v>649</v>
      </c>
      <c r="F148" s="1" t="s">
        <v>11</v>
      </c>
    </row>
    <row r="149" spans="1:6" hidden="1" x14ac:dyDescent="0.3">
      <c r="A149" s="1" t="s">
        <v>650</v>
      </c>
      <c r="B149" s="1" t="s">
        <v>651</v>
      </c>
      <c r="C149">
        <v>249.35134400000001</v>
      </c>
      <c r="D149">
        <v>4.0099999999999997E-3</v>
      </c>
      <c r="E149" s="1" t="s">
        <v>652</v>
      </c>
      <c r="F149" s="1" t="s">
        <v>11</v>
      </c>
    </row>
    <row r="150" spans="1:6" hidden="1" x14ac:dyDescent="0.3">
      <c r="A150" s="1" t="s">
        <v>653</v>
      </c>
      <c r="B150" s="1" t="s">
        <v>654</v>
      </c>
      <c r="C150">
        <v>22.274791</v>
      </c>
      <c r="D150">
        <v>4.4894000000000003E-2</v>
      </c>
      <c r="E150" s="1" t="s">
        <v>655</v>
      </c>
      <c r="F150" s="1" t="s">
        <v>11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1B713-E5DB-4E4A-8330-65DFE52FA5E3}">
  <dimension ref="A1:I101"/>
  <sheetViews>
    <sheetView topLeftCell="A76" workbookViewId="0">
      <selection activeCell="C99" sqref="C99"/>
    </sheetView>
  </sheetViews>
  <sheetFormatPr defaultRowHeight="14.4" x14ac:dyDescent="0.3"/>
  <cols>
    <col min="1" max="1" width="13.21875" bestFit="1" customWidth="1"/>
    <col min="2" max="2" width="13.6640625" bestFit="1" customWidth="1"/>
    <col min="3" max="3" width="8" bestFit="1" customWidth="1"/>
    <col min="4" max="6" width="6.6640625" bestFit="1" customWidth="1"/>
    <col min="7" max="7" width="13.33203125" bestFit="1" customWidth="1"/>
    <col min="8" max="8" width="12" bestFit="1" customWidth="1"/>
    <col min="9" max="9" width="12.44140625" bestFit="1" customWidth="1"/>
    <col min="10" max="10" width="12" bestFit="1" customWidth="1"/>
    <col min="11" max="11" width="12.44140625" bestFit="1" customWidth="1"/>
  </cols>
  <sheetData>
    <row r="1" spans="1:9" x14ac:dyDescent="0.3">
      <c r="A1" t="s">
        <v>859</v>
      </c>
      <c r="B1" t="s">
        <v>2</v>
      </c>
      <c r="C1" t="s">
        <v>3</v>
      </c>
      <c r="D1" t="s">
        <v>671</v>
      </c>
      <c r="E1" t="s">
        <v>672</v>
      </c>
      <c r="F1" t="s">
        <v>673</v>
      </c>
      <c r="G1" t="s">
        <v>674</v>
      </c>
      <c r="H1" t="s">
        <v>675</v>
      </c>
      <c r="I1" t="s">
        <v>676</v>
      </c>
    </row>
    <row r="2" spans="1:9" x14ac:dyDescent="0.3">
      <c r="A2" s="1" t="s">
        <v>677</v>
      </c>
      <c r="B2" s="1" t="s">
        <v>678</v>
      </c>
      <c r="C2">
        <v>45415</v>
      </c>
      <c r="D2">
        <v>6.0000000000000001E-3</v>
      </c>
      <c r="E2">
        <v>2E-3</v>
      </c>
      <c r="F2">
        <v>-0.188</v>
      </c>
      <c r="G2">
        <v>71111127160</v>
      </c>
      <c r="H2">
        <v>847396760812</v>
      </c>
      <c r="I2" s="1" t="s">
        <v>11</v>
      </c>
    </row>
    <row r="3" spans="1:9" x14ac:dyDescent="0.3">
      <c r="A3" s="1" t="s">
        <v>679</v>
      </c>
      <c r="B3" s="1" t="s">
        <v>680</v>
      </c>
      <c r="C3">
        <v>3530.62</v>
      </c>
      <c r="D3">
        <v>7.0000000000000001E-3</v>
      </c>
      <c r="E3">
        <v>6.0000000000000001E-3</v>
      </c>
      <c r="F3">
        <v>-0.113</v>
      </c>
      <c r="G3">
        <v>66861260859</v>
      </c>
      <c r="H3">
        <v>407839372294</v>
      </c>
      <c r="I3" s="1" t="s">
        <v>11</v>
      </c>
    </row>
    <row r="4" spans="1:9" x14ac:dyDescent="0.3">
      <c r="A4" s="1" t="s">
        <v>681</v>
      </c>
      <c r="B4" s="1" t="s">
        <v>682</v>
      </c>
      <c r="C4">
        <v>527.92999999999995</v>
      </c>
      <c r="D4">
        <v>4.0000000000000001E-3</v>
      </c>
      <c r="E4">
        <v>-1.2999999999999999E-2</v>
      </c>
      <c r="F4">
        <v>-0.16800000000000001</v>
      </c>
      <c r="G4">
        <v>4176393407</v>
      </c>
      <c r="H4">
        <v>81363622068</v>
      </c>
      <c r="I4" s="1" t="s">
        <v>11</v>
      </c>
    </row>
    <row r="5" spans="1:9" x14ac:dyDescent="0.3">
      <c r="A5" s="1" t="s">
        <v>685</v>
      </c>
      <c r="B5" s="1" t="s">
        <v>686</v>
      </c>
      <c r="C5">
        <v>1.53</v>
      </c>
      <c r="D5">
        <v>5.0000000000000001E-3</v>
      </c>
      <c r="E5">
        <v>5.2999999999999999E-2</v>
      </c>
      <c r="F5">
        <v>0.09</v>
      </c>
      <c r="G5">
        <v>11348715357</v>
      </c>
      <c r="H5">
        <v>69952446019</v>
      </c>
      <c r="I5" s="1" t="s">
        <v>11</v>
      </c>
    </row>
    <row r="6" spans="1:9" x14ac:dyDescent="0.3">
      <c r="A6" s="1" t="s">
        <v>683</v>
      </c>
      <c r="B6" s="1" t="s">
        <v>684</v>
      </c>
      <c r="C6">
        <v>2.1</v>
      </c>
      <c r="D6">
        <v>3.0000000000000001E-3</v>
      </c>
      <c r="E6">
        <v>-4.9000000000000002E-2</v>
      </c>
      <c r="F6">
        <v>0.27400000000000002</v>
      </c>
      <c r="G6">
        <v>9544893845</v>
      </c>
      <c r="H6">
        <v>67183211538</v>
      </c>
      <c r="I6" s="1" t="s">
        <v>11</v>
      </c>
    </row>
    <row r="7" spans="1:9" x14ac:dyDescent="0.3">
      <c r="A7" s="1" t="s">
        <v>687</v>
      </c>
      <c r="B7" s="1" t="s">
        <v>688</v>
      </c>
      <c r="C7">
        <v>0.49509999999999998</v>
      </c>
      <c r="D7">
        <v>0</v>
      </c>
      <c r="E7">
        <v>-3.3000000000000002E-2</v>
      </c>
      <c r="F7">
        <v>9.7000000000000003E-2</v>
      </c>
      <c r="G7">
        <v>5983703778</v>
      </c>
      <c r="H7">
        <v>64052983428</v>
      </c>
      <c r="I7" s="1" t="s">
        <v>11</v>
      </c>
    </row>
    <row r="8" spans="1:9" x14ac:dyDescent="0.3">
      <c r="A8" s="1" t="s">
        <v>689</v>
      </c>
      <c r="B8" s="1" t="s">
        <v>690</v>
      </c>
      <c r="C8">
        <v>1</v>
      </c>
      <c r="D8">
        <v>0</v>
      </c>
      <c r="E8">
        <v>-2E-3</v>
      </c>
      <c r="F8">
        <v>-5.0000000000000001E-3</v>
      </c>
      <c r="G8">
        <v>173849859878</v>
      </c>
      <c r="H8">
        <v>58460398665</v>
      </c>
      <c r="I8" s="1" t="s">
        <v>11</v>
      </c>
    </row>
    <row r="9" spans="1:9" x14ac:dyDescent="0.3">
      <c r="A9" s="1" t="s">
        <v>691</v>
      </c>
      <c r="B9" s="1" t="s">
        <v>692</v>
      </c>
      <c r="C9">
        <v>41.2</v>
      </c>
      <c r="D9">
        <v>8.9999999999999993E-3</v>
      </c>
      <c r="E9">
        <v>3.2000000000000001E-2</v>
      </c>
      <c r="F9">
        <v>0.123</v>
      </c>
      <c r="G9">
        <v>2735640859</v>
      </c>
      <c r="H9">
        <v>40445283378</v>
      </c>
      <c r="I9" s="1" t="s">
        <v>11</v>
      </c>
    </row>
    <row r="10" spans="1:9" x14ac:dyDescent="0.3">
      <c r="A10" s="1" t="s">
        <v>693</v>
      </c>
      <c r="B10" s="1" t="s">
        <v>694</v>
      </c>
      <c r="C10">
        <v>1134.6300000000001</v>
      </c>
      <c r="D10">
        <v>5.0000000000000001E-3</v>
      </c>
      <c r="E10">
        <v>2.5000000000000001E-2</v>
      </c>
      <c r="F10">
        <v>-0.155</v>
      </c>
      <c r="G10">
        <v>7465703915</v>
      </c>
      <c r="H10">
        <v>21141428258</v>
      </c>
      <c r="I10" s="1" t="s">
        <v>11</v>
      </c>
    </row>
    <row r="11" spans="1:9" x14ac:dyDescent="0.3">
      <c r="A11" s="1" t="s">
        <v>695</v>
      </c>
      <c r="B11" s="1" t="s">
        <v>696</v>
      </c>
      <c r="C11">
        <v>307.95999999999998</v>
      </c>
      <c r="D11">
        <v>1.0999999999999999E-2</v>
      </c>
      <c r="E11">
        <v>7.2999999999999995E-2</v>
      </c>
      <c r="F11">
        <v>-0.14899999999999999</v>
      </c>
      <c r="G11">
        <v>9647718552</v>
      </c>
      <c r="H11">
        <v>20514052616</v>
      </c>
      <c r="I11" s="1" t="s">
        <v>11</v>
      </c>
    </row>
    <row r="12" spans="1:9" x14ac:dyDescent="0.3">
      <c r="A12" s="1" t="s">
        <v>697</v>
      </c>
      <c r="B12" s="1" t="s">
        <v>698</v>
      </c>
      <c r="C12">
        <v>36.1</v>
      </c>
      <c r="D12">
        <v>4.0000000000000001E-3</v>
      </c>
      <c r="E12">
        <v>2.3E-2</v>
      </c>
      <c r="F12">
        <v>-0.01</v>
      </c>
      <c r="G12">
        <v>1056652156</v>
      </c>
      <c r="H12">
        <v>18723882859</v>
      </c>
      <c r="I12" s="1" t="s">
        <v>11</v>
      </c>
    </row>
    <row r="13" spans="1:9" x14ac:dyDescent="0.3">
      <c r="A13" s="1" t="s">
        <v>699</v>
      </c>
      <c r="B13" s="1" t="s">
        <v>700</v>
      </c>
      <c r="C13">
        <v>40.14</v>
      </c>
      <c r="D13">
        <v>6.0000000000000001E-3</v>
      </c>
      <c r="E13">
        <v>2.5999999999999999E-2</v>
      </c>
      <c r="F13">
        <v>-0.14299999999999999</v>
      </c>
      <c r="G13">
        <v>2048535927</v>
      </c>
      <c r="H13">
        <v>17115110782</v>
      </c>
      <c r="I13" s="1" t="s">
        <v>11</v>
      </c>
    </row>
    <row r="14" spans="1:9" x14ac:dyDescent="0.3">
      <c r="A14" s="1" t="s">
        <v>701</v>
      </c>
      <c r="B14" s="1" t="s">
        <v>860</v>
      </c>
      <c r="C14">
        <v>1</v>
      </c>
      <c r="D14">
        <v>3.0000000000000001E-3</v>
      </c>
      <c r="E14">
        <v>-2E-3</v>
      </c>
      <c r="F14">
        <v>2E-3</v>
      </c>
      <c r="G14">
        <v>3739246115</v>
      </c>
      <c r="H14">
        <v>16870813808</v>
      </c>
      <c r="I14" s="1" t="s">
        <v>11</v>
      </c>
    </row>
    <row r="15" spans="1:9" x14ac:dyDescent="0.3">
      <c r="A15" s="1" t="s">
        <v>702</v>
      </c>
      <c r="B15" s="1" t="s">
        <v>703</v>
      </c>
      <c r="C15">
        <v>0.66210000000000002</v>
      </c>
      <c r="D15">
        <v>0</v>
      </c>
      <c r="E15">
        <v>-3.7999999999999999E-2</v>
      </c>
      <c r="F15">
        <v>-7.0000000000000001E-3</v>
      </c>
      <c r="G15">
        <v>2660654872</v>
      </c>
      <c r="H15">
        <v>15298174817</v>
      </c>
      <c r="I15" s="1" t="s">
        <v>11</v>
      </c>
    </row>
    <row r="16" spans="1:9" x14ac:dyDescent="0.3">
      <c r="A16" s="1" t="s">
        <v>708</v>
      </c>
      <c r="B16" s="1" t="s">
        <v>709</v>
      </c>
      <c r="C16">
        <v>52.5</v>
      </c>
      <c r="D16">
        <v>4.2999999999999997E-2</v>
      </c>
      <c r="E16">
        <v>3.4000000000000002E-2</v>
      </c>
      <c r="F16">
        <v>0.222</v>
      </c>
      <c r="G16">
        <v>1824967554</v>
      </c>
      <c r="H16">
        <v>14188862790</v>
      </c>
      <c r="I16" s="1" t="s">
        <v>11</v>
      </c>
    </row>
    <row r="17" spans="1:9" x14ac:dyDescent="0.3">
      <c r="A17" s="1" t="s">
        <v>712</v>
      </c>
      <c r="B17" s="1" t="s">
        <v>713</v>
      </c>
      <c r="C17">
        <v>2.15</v>
      </c>
      <c r="D17">
        <v>7.0000000000000001E-3</v>
      </c>
      <c r="E17">
        <v>0.32400000000000001</v>
      </c>
      <c r="F17">
        <v>1.446</v>
      </c>
      <c r="G17">
        <v>5269409110</v>
      </c>
      <c r="H17">
        <v>13281634223</v>
      </c>
      <c r="I17" s="1" t="s">
        <v>11</v>
      </c>
    </row>
    <row r="18" spans="1:9" x14ac:dyDescent="0.3">
      <c r="A18" s="1" t="s">
        <v>704</v>
      </c>
      <c r="B18" s="1" t="s">
        <v>705</v>
      </c>
      <c r="C18">
        <v>91.89</v>
      </c>
      <c r="D18">
        <v>-3.0000000000000001E-3</v>
      </c>
      <c r="E18">
        <v>-4.0000000000000001E-3</v>
      </c>
      <c r="F18">
        <v>-0.13300000000000001</v>
      </c>
      <c r="G18">
        <v>9082350736</v>
      </c>
      <c r="H18">
        <v>11646471436</v>
      </c>
      <c r="I18" s="1" t="s">
        <v>11</v>
      </c>
    </row>
    <row r="19" spans="1:9" x14ac:dyDescent="0.3">
      <c r="A19" s="1" t="s">
        <v>706</v>
      </c>
      <c r="B19" s="1" t="s">
        <v>707</v>
      </c>
      <c r="C19">
        <v>0.16980000000000001</v>
      </c>
      <c r="D19">
        <v>4.0000000000000001E-3</v>
      </c>
      <c r="E19">
        <v>-1.2E-2</v>
      </c>
      <c r="F19">
        <v>-0.18</v>
      </c>
      <c r="G19">
        <v>1781161128</v>
      </c>
      <c r="H19">
        <v>11034690024</v>
      </c>
      <c r="I19" s="1" t="s">
        <v>11</v>
      </c>
    </row>
    <row r="20" spans="1:9" x14ac:dyDescent="0.3">
      <c r="A20" s="1" t="s">
        <v>714</v>
      </c>
      <c r="B20" s="1" t="s">
        <v>715</v>
      </c>
      <c r="C20">
        <v>10.08</v>
      </c>
      <c r="D20">
        <v>4.0000000000000001E-3</v>
      </c>
      <c r="E20">
        <v>8.9999999999999993E-3</v>
      </c>
      <c r="F20">
        <v>-4.7E-2</v>
      </c>
      <c r="G20">
        <v>502521782</v>
      </c>
      <c r="H20">
        <v>10031747069</v>
      </c>
      <c r="I20" s="1" t="s">
        <v>11</v>
      </c>
    </row>
    <row r="21" spans="1:9" x14ac:dyDescent="0.3">
      <c r="A21" s="1" t="s">
        <v>710</v>
      </c>
      <c r="B21" s="1" t="s">
        <v>711</v>
      </c>
      <c r="C21">
        <v>9.51</v>
      </c>
      <c r="D21">
        <v>3.0000000000000001E-3</v>
      </c>
      <c r="E21">
        <v>-2E-3</v>
      </c>
      <c r="F21">
        <v>0.02</v>
      </c>
      <c r="G21">
        <v>6701326622</v>
      </c>
      <c r="H21">
        <v>9078593687</v>
      </c>
      <c r="I21" s="1" t="s">
        <v>11</v>
      </c>
    </row>
    <row r="22" spans="1:9" x14ac:dyDescent="0.3">
      <c r="A22" s="1" t="s">
        <v>724</v>
      </c>
      <c r="B22" s="1" t="s">
        <v>725</v>
      </c>
      <c r="C22">
        <v>0</v>
      </c>
      <c r="D22">
        <v>7.0000000000000001E-3</v>
      </c>
      <c r="E22">
        <v>4.9000000000000002E-2</v>
      </c>
      <c r="F22">
        <v>-0.51200000000000001</v>
      </c>
      <c r="G22">
        <v>2151768349</v>
      </c>
      <c r="H22">
        <v>8524163158</v>
      </c>
      <c r="I22" s="1" t="s">
        <v>11</v>
      </c>
    </row>
    <row r="23" spans="1:9" x14ac:dyDescent="0.3">
      <c r="A23" s="1" t="s">
        <v>716</v>
      </c>
      <c r="B23" s="1" t="s">
        <v>717</v>
      </c>
      <c r="C23">
        <v>0.11799999999999999</v>
      </c>
      <c r="D23">
        <v>8.0000000000000002E-3</v>
      </c>
      <c r="E23">
        <v>0.01</v>
      </c>
      <c r="F23">
        <v>-8.3000000000000004E-2</v>
      </c>
      <c r="G23">
        <v>3366926134</v>
      </c>
      <c r="H23">
        <v>8409535641</v>
      </c>
      <c r="I23" s="1" t="s">
        <v>11</v>
      </c>
    </row>
    <row r="24" spans="1:9" x14ac:dyDescent="0.3">
      <c r="A24" s="1" t="s">
        <v>729</v>
      </c>
      <c r="B24" s="1" t="s">
        <v>730</v>
      </c>
      <c r="C24">
        <v>657.87</v>
      </c>
      <c r="D24">
        <v>5.0000000000000001E-3</v>
      </c>
      <c r="E24">
        <v>0.17499999999999999</v>
      </c>
      <c r="F24">
        <v>0.51400000000000001</v>
      </c>
      <c r="G24">
        <v>2240610810</v>
      </c>
      <c r="H24">
        <v>8377647935</v>
      </c>
      <c r="I24" s="1" t="s">
        <v>11</v>
      </c>
    </row>
    <row r="25" spans="1:9" x14ac:dyDescent="0.3">
      <c r="A25" s="1" t="s">
        <v>720</v>
      </c>
      <c r="B25" s="1" t="s">
        <v>721</v>
      </c>
      <c r="C25">
        <v>45377</v>
      </c>
      <c r="D25">
        <v>5.0000000000000001E-3</v>
      </c>
      <c r="E25">
        <v>1E-3</v>
      </c>
      <c r="F25">
        <v>-0.189</v>
      </c>
      <c r="G25">
        <v>467978114</v>
      </c>
      <c r="H25">
        <v>8103043210</v>
      </c>
      <c r="I25" s="1" t="s">
        <v>11</v>
      </c>
    </row>
    <row r="26" spans="1:9" x14ac:dyDescent="0.3">
      <c r="A26" s="1" t="s">
        <v>681</v>
      </c>
      <c r="B26" s="1" t="s">
        <v>726</v>
      </c>
      <c r="C26">
        <v>1</v>
      </c>
      <c r="D26">
        <v>6.0000000000000001E-3</v>
      </c>
      <c r="E26">
        <v>8.0000000000000002E-3</v>
      </c>
      <c r="F26">
        <v>1E-3</v>
      </c>
      <c r="G26">
        <v>7907758502</v>
      </c>
      <c r="H26">
        <v>8015553919</v>
      </c>
      <c r="I26" s="1" t="s">
        <v>11</v>
      </c>
    </row>
    <row r="27" spans="1:9" x14ac:dyDescent="0.3">
      <c r="A27" s="1" t="s">
        <v>718</v>
      </c>
      <c r="B27" s="1" t="s">
        <v>719</v>
      </c>
      <c r="C27">
        <v>29.42</v>
      </c>
      <c r="D27">
        <v>-1E-3</v>
      </c>
      <c r="E27">
        <v>0</v>
      </c>
      <c r="F27">
        <v>-9.6000000000000002E-2</v>
      </c>
      <c r="G27">
        <v>1306533429</v>
      </c>
      <c r="H27">
        <v>7889357086</v>
      </c>
      <c r="I27" s="1" t="s">
        <v>11</v>
      </c>
    </row>
    <row r="28" spans="1:9" x14ac:dyDescent="0.3">
      <c r="A28" s="1" t="s">
        <v>722</v>
      </c>
      <c r="B28" s="1" t="s">
        <v>723</v>
      </c>
      <c r="C28">
        <v>103.91</v>
      </c>
      <c r="D28">
        <v>4.0000000000000001E-3</v>
      </c>
      <c r="E28">
        <v>4.0000000000000001E-3</v>
      </c>
      <c r="F28">
        <v>-0.23300000000000001</v>
      </c>
      <c r="G28">
        <v>1055793207</v>
      </c>
      <c r="H28">
        <v>7524256390</v>
      </c>
      <c r="I28" s="1" t="s">
        <v>11</v>
      </c>
    </row>
    <row r="29" spans="1:9" x14ac:dyDescent="0.3">
      <c r="A29" s="1" t="s">
        <v>727</v>
      </c>
      <c r="B29" s="1" t="s">
        <v>728</v>
      </c>
      <c r="C29">
        <v>353.45</v>
      </c>
      <c r="D29">
        <v>3.0000000000000001E-3</v>
      </c>
      <c r="E29">
        <v>-2.3E-2</v>
      </c>
      <c r="F29">
        <v>-0.20100000000000001</v>
      </c>
      <c r="G29">
        <v>460558640</v>
      </c>
      <c r="H29">
        <v>6323792391</v>
      </c>
      <c r="I29" s="1" t="s">
        <v>11</v>
      </c>
    </row>
    <row r="30" spans="1:9" x14ac:dyDescent="0.3">
      <c r="A30" s="1" t="s">
        <v>731</v>
      </c>
      <c r="B30" s="1" t="s">
        <v>732</v>
      </c>
      <c r="C30">
        <v>89.57</v>
      </c>
      <c r="D30">
        <v>3.0000000000000001E-3</v>
      </c>
      <c r="E30">
        <v>-2E-3</v>
      </c>
      <c r="F30">
        <v>-0.151</v>
      </c>
      <c r="G30">
        <v>1334737447</v>
      </c>
      <c r="H30">
        <v>6291723357</v>
      </c>
      <c r="I30" s="1" t="s">
        <v>11</v>
      </c>
    </row>
    <row r="31" spans="1:9" x14ac:dyDescent="0.3">
      <c r="A31" s="1" t="s">
        <v>738</v>
      </c>
      <c r="B31" s="1" t="s">
        <v>739</v>
      </c>
      <c r="C31">
        <v>15.55</v>
      </c>
      <c r="D31">
        <v>0</v>
      </c>
      <c r="E31">
        <v>0</v>
      </c>
      <c r="F31">
        <v>-2.5000000000000001E-2</v>
      </c>
      <c r="G31">
        <v>353433309</v>
      </c>
      <c r="H31">
        <v>5929582179</v>
      </c>
      <c r="I31" s="1" t="s">
        <v>11</v>
      </c>
    </row>
    <row r="32" spans="1:9" x14ac:dyDescent="0.3">
      <c r="A32" s="1" t="s">
        <v>744</v>
      </c>
      <c r="B32" s="1" t="s">
        <v>745</v>
      </c>
      <c r="C32">
        <v>2</v>
      </c>
      <c r="D32">
        <v>1.0999999999999999E-2</v>
      </c>
      <c r="E32">
        <v>3.5000000000000003E-2</v>
      </c>
      <c r="F32">
        <v>-0.01</v>
      </c>
      <c r="G32">
        <v>205278593</v>
      </c>
      <c r="H32">
        <v>5577084545</v>
      </c>
      <c r="I32" s="1" t="s">
        <v>11</v>
      </c>
    </row>
    <row r="33" spans="1:9" x14ac:dyDescent="0.3">
      <c r="A33" s="1" t="s">
        <v>740</v>
      </c>
      <c r="B33" s="1" t="s">
        <v>741</v>
      </c>
      <c r="C33">
        <v>70.400000000000006</v>
      </c>
      <c r="E33">
        <v>4.0000000000000001E-3</v>
      </c>
      <c r="F33">
        <v>-0.114</v>
      </c>
      <c r="G33">
        <v>17135989</v>
      </c>
      <c r="H33">
        <v>5575048172</v>
      </c>
      <c r="I33" s="1" t="s">
        <v>11</v>
      </c>
    </row>
    <row r="34" spans="1:9" x14ac:dyDescent="0.3">
      <c r="A34" s="1" t="s">
        <v>735</v>
      </c>
      <c r="B34" s="1" t="s">
        <v>736</v>
      </c>
      <c r="C34">
        <v>2.2400000000000002</v>
      </c>
      <c r="D34">
        <v>1E-3</v>
      </c>
      <c r="E34">
        <v>-1.0999999999999999E-2</v>
      </c>
      <c r="F34">
        <v>1.4E-2</v>
      </c>
      <c r="G34">
        <v>57975267</v>
      </c>
      <c r="H34">
        <v>5505469414</v>
      </c>
      <c r="I34" s="1" t="s">
        <v>11</v>
      </c>
    </row>
    <row r="35" spans="1:9" x14ac:dyDescent="0.3">
      <c r="A35" s="1" t="s">
        <v>693</v>
      </c>
      <c r="B35" s="1" t="s">
        <v>737</v>
      </c>
      <c r="C35">
        <v>294.55</v>
      </c>
      <c r="D35">
        <v>1.2999999999999999E-2</v>
      </c>
      <c r="E35">
        <v>2.7E-2</v>
      </c>
      <c r="F35">
        <v>-0.13300000000000001</v>
      </c>
      <c r="G35">
        <v>1780131283</v>
      </c>
      <c r="H35">
        <v>5481931936</v>
      </c>
      <c r="I35" s="1" t="s">
        <v>11</v>
      </c>
    </row>
    <row r="36" spans="1:9" x14ac:dyDescent="0.3">
      <c r="A36" s="1" t="s">
        <v>746</v>
      </c>
      <c r="B36" s="1" t="s">
        <v>747</v>
      </c>
      <c r="C36">
        <v>613.13</v>
      </c>
      <c r="D36">
        <v>1.4E-2</v>
      </c>
      <c r="E36">
        <v>6.2E-2</v>
      </c>
      <c r="F36">
        <v>0.47899999999999998</v>
      </c>
      <c r="G36">
        <v>912807807</v>
      </c>
      <c r="H36">
        <v>5478130771</v>
      </c>
      <c r="I36" s="1" t="s">
        <v>11</v>
      </c>
    </row>
    <row r="37" spans="1:9" x14ac:dyDescent="0.3">
      <c r="A37" s="1" t="s">
        <v>733</v>
      </c>
      <c r="B37" s="1" t="s">
        <v>734</v>
      </c>
      <c r="C37">
        <v>22.57</v>
      </c>
      <c r="D37">
        <v>-2E-3</v>
      </c>
      <c r="E37">
        <v>-4.4999999999999998E-2</v>
      </c>
      <c r="F37">
        <v>-0.113</v>
      </c>
      <c r="G37">
        <v>1106698854</v>
      </c>
      <c r="H37">
        <v>5383224148</v>
      </c>
      <c r="I37" s="1" t="s">
        <v>11</v>
      </c>
    </row>
    <row r="38" spans="1:9" x14ac:dyDescent="0.3">
      <c r="A38" s="1" t="s">
        <v>742</v>
      </c>
      <c r="B38" s="1" t="s">
        <v>743</v>
      </c>
      <c r="C38">
        <v>29.04</v>
      </c>
      <c r="D38">
        <v>2E-3</v>
      </c>
      <c r="E38">
        <v>3.1E-2</v>
      </c>
      <c r="F38">
        <v>0</v>
      </c>
      <c r="G38">
        <v>2304955858</v>
      </c>
      <c r="H38">
        <v>5069618534</v>
      </c>
      <c r="I38" s="1" t="s">
        <v>11</v>
      </c>
    </row>
    <row r="39" spans="1:9" x14ac:dyDescent="0.3">
      <c r="A39" s="1" t="s">
        <v>762</v>
      </c>
      <c r="B39" s="1" t="s">
        <v>763</v>
      </c>
      <c r="C39">
        <v>20.309999999999999</v>
      </c>
      <c r="D39">
        <v>1.4E-2</v>
      </c>
      <c r="E39">
        <v>5.8999999999999997E-2</v>
      </c>
      <c r="F39">
        <v>0.222</v>
      </c>
      <c r="G39">
        <v>192095350</v>
      </c>
      <c r="H39">
        <v>4851286390</v>
      </c>
      <c r="I39" s="1" t="s">
        <v>11</v>
      </c>
    </row>
    <row r="40" spans="1:9" x14ac:dyDescent="0.3">
      <c r="A40" s="1" t="s">
        <v>750</v>
      </c>
      <c r="B40" s="1" t="s">
        <v>751</v>
      </c>
      <c r="C40">
        <v>28.78</v>
      </c>
      <c r="D40">
        <v>5.0000000000000001E-3</v>
      </c>
      <c r="E40">
        <v>3.2000000000000001E-2</v>
      </c>
      <c r="F40">
        <v>-0.20200000000000001</v>
      </c>
      <c r="G40">
        <v>540763106</v>
      </c>
      <c r="H40">
        <v>4841715411</v>
      </c>
      <c r="I40" s="1" t="s">
        <v>11</v>
      </c>
    </row>
    <row r="41" spans="1:9" x14ac:dyDescent="0.3">
      <c r="A41" s="1" t="s">
        <v>758</v>
      </c>
      <c r="B41" s="1" t="s">
        <v>759</v>
      </c>
      <c r="C41">
        <v>0.99919999999999998</v>
      </c>
      <c r="D41">
        <v>0</v>
      </c>
      <c r="E41">
        <v>-4.0000000000000001E-3</v>
      </c>
      <c r="F41">
        <v>-4.0000000000000001E-3</v>
      </c>
      <c r="G41">
        <v>893588203</v>
      </c>
      <c r="H41">
        <v>4770411047</v>
      </c>
      <c r="I41" s="1" t="s">
        <v>11</v>
      </c>
    </row>
    <row r="42" spans="1:9" x14ac:dyDescent="0.3">
      <c r="A42" s="1" t="s">
        <v>754</v>
      </c>
      <c r="B42" s="1" t="s">
        <v>755</v>
      </c>
      <c r="C42">
        <v>37.29</v>
      </c>
      <c r="D42">
        <v>1.7999999999999999E-2</v>
      </c>
      <c r="E42">
        <v>4.7E-2</v>
      </c>
      <c r="F42">
        <v>6.8000000000000005E-2</v>
      </c>
      <c r="G42">
        <v>519583241</v>
      </c>
      <c r="H42">
        <v>4758038017</v>
      </c>
      <c r="I42" s="1" t="s">
        <v>11</v>
      </c>
    </row>
    <row r="43" spans="1:9" x14ac:dyDescent="0.3">
      <c r="A43" s="1" t="s">
        <v>756</v>
      </c>
      <c r="B43" s="1" t="s">
        <v>757</v>
      </c>
      <c r="C43">
        <v>53.35</v>
      </c>
      <c r="D43">
        <v>8.0000000000000002E-3</v>
      </c>
      <c r="E43">
        <v>1.7999999999999999E-2</v>
      </c>
      <c r="F43">
        <v>-9.8000000000000004E-2</v>
      </c>
      <c r="G43">
        <v>209263675</v>
      </c>
      <c r="H43">
        <v>4670300494</v>
      </c>
      <c r="I43" s="1" t="s">
        <v>11</v>
      </c>
    </row>
    <row r="44" spans="1:9" x14ac:dyDescent="0.3">
      <c r="A44" s="1" t="s">
        <v>748</v>
      </c>
      <c r="B44" s="1" t="s">
        <v>749</v>
      </c>
      <c r="C44">
        <v>5.47</v>
      </c>
      <c r="D44">
        <v>-1E-3</v>
      </c>
      <c r="E44">
        <v>4.0000000000000001E-3</v>
      </c>
      <c r="F44">
        <v>-0.11899999999999999</v>
      </c>
      <c r="G44">
        <v>263884962</v>
      </c>
      <c r="H44">
        <v>4557921280</v>
      </c>
      <c r="I44" s="1" t="s">
        <v>11</v>
      </c>
    </row>
    <row r="45" spans="1:9" x14ac:dyDescent="0.3">
      <c r="A45" s="1" t="s">
        <v>752</v>
      </c>
      <c r="B45" s="1" t="s">
        <v>753</v>
      </c>
      <c r="C45">
        <v>0</v>
      </c>
      <c r="D45">
        <v>-3.2000000000000001E-2</v>
      </c>
      <c r="E45">
        <v>6.5000000000000002E-2</v>
      </c>
      <c r="F45">
        <v>-0.17199999999999999</v>
      </c>
      <c r="G45">
        <v>72977981</v>
      </c>
      <c r="H45">
        <v>4484319638</v>
      </c>
      <c r="I45" s="1" t="s">
        <v>11</v>
      </c>
    </row>
    <row r="46" spans="1:9" x14ac:dyDescent="0.3">
      <c r="A46" s="1" t="s">
        <v>764</v>
      </c>
      <c r="B46" s="1" t="s">
        <v>971</v>
      </c>
      <c r="C46">
        <v>4949.88</v>
      </c>
      <c r="D46">
        <v>1.7000000000000001E-2</v>
      </c>
      <c r="E46">
        <v>7.9000000000000001E-2</v>
      </c>
      <c r="F46">
        <v>-6.0000000000000001E-3</v>
      </c>
      <c r="G46">
        <v>434537790</v>
      </c>
      <c r="H46">
        <v>4447496076</v>
      </c>
      <c r="I46" s="1" t="s">
        <v>11</v>
      </c>
    </row>
    <row r="47" spans="1:9" x14ac:dyDescent="0.3">
      <c r="A47" s="1" t="s">
        <v>765</v>
      </c>
      <c r="B47" s="1" t="s">
        <v>766</v>
      </c>
      <c r="C47">
        <v>2.1399999999999999E-2</v>
      </c>
      <c r="D47">
        <v>0</v>
      </c>
      <c r="E47">
        <v>-1.2999999999999999E-2</v>
      </c>
      <c r="F47">
        <v>-1E-3</v>
      </c>
      <c r="G47">
        <v>22795514</v>
      </c>
      <c r="H47">
        <v>4172105514</v>
      </c>
      <c r="I47" s="1" t="s">
        <v>11</v>
      </c>
    </row>
    <row r="48" spans="1:9" x14ac:dyDescent="0.3">
      <c r="A48" s="1" t="s">
        <v>760</v>
      </c>
      <c r="B48" s="1" t="s">
        <v>761</v>
      </c>
      <c r="C48">
        <v>1.36</v>
      </c>
      <c r="D48">
        <v>2E-3</v>
      </c>
      <c r="E48">
        <v>-1.2999999999999999E-2</v>
      </c>
      <c r="F48">
        <v>-1.4E-2</v>
      </c>
      <c r="G48">
        <v>584447276</v>
      </c>
      <c r="H48">
        <v>4116855045</v>
      </c>
      <c r="I48" s="1" t="s">
        <v>11</v>
      </c>
    </row>
    <row r="49" spans="1:9" x14ac:dyDescent="0.3">
      <c r="A49" s="1" t="s">
        <v>769</v>
      </c>
      <c r="B49" s="1" t="s">
        <v>770</v>
      </c>
      <c r="C49">
        <v>2.1999999999999999E-2</v>
      </c>
      <c r="D49">
        <v>8.9999999999999993E-3</v>
      </c>
      <c r="E49">
        <v>-5.0000000000000001E-3</v>
      </c>
      <c r="F49">
        <v>0</v>
      </c>
      <c r="G49">
        <v>82747818</v>
      </c>
      <c r="H49">
        <v>4010004398</v>
      </c>
      <c r="I49" s="1" t="s">
        <v>11</v>
      </c>
    </row>
    <row r="50" spans="1:9" x14ac:dyDescent="0.3">
      <c r="A50" s="1" t="s">
        <v>767</v>
      </c>
      <c r="B50" s="1" t="s">
        <v>768</v>
      </c>
      <c r="C50">
        <v>0.15179999999999999</v>
      </c>
      <c r="D50">
        <v>8.0000000000000002E-3</v>
      </c>
      <c r="E50">
        <v>-8.9999999999999993E-3</v>
      </c>
      <c r="F50">
        <v>-5.0999999999999997E-2</v>
      </c>
      <c r="G50">
        <v>85652133</v>
      </c>
      <c r="H50">
        <v>3827953936</v>
      </c>
      <c r="I50" s="1" t="s">
        <v>11</v>
      </c>
    </row>
    <row r="51" spans="1:9" x14ac:dyDescent="0.3">
      <c r="A51" s="1" t="s">
        <v>771</v>
      </c>
      <c r="B51" s="1" t="s">
        <v>772</v>
      </c>
      <c r="C51">
        <v>5.7000000000000002E-3</v>
      </c>
      <c r="D51">
        <v>1.0999999999999999E-2</v>
      </c>
      <c r="E51">
        <v>-1.2999999999999999E-2</v>
      </c>
      <c r="F51">
        <v>-0.13600000000000001</v>
      </c>
      <c r="G51">
        <v>1319424948</v>
      </c>
      <c r="H51">
        <v>3748698487</v>
      </c>
      <c r="I51" s="1" t="s">
        <v>11</v>
      </c>
    </row>
    <row r="52" spans="1:9" x14ac:dyDescent="0.3">
      <c r="A52" s="1" t="s">
        <v>773</v>
      </c>
      <c r="B52" s="1" t="s">
        <v>774</v>
      </c>
      <c r="C52">
        <v>718.51</v>
      </c>
      <c r="D52">
        <v>5.0000000000000001E-3</v>
      </c>
      <c r="E52">
        <v>6.0999999999999999E-2</v>
      </c>
      <c r="F52">
        <v>-7.9000000000000001E-2</v>
      </c>
      <c r="G52">
        <v>372514404</v>
      </c>
      <c r="H52">
        <v>3684926043</v>
      </c>
      <c r="I52" s="1" t="s">
        <v>11</v>
      </c>
    </row>
    <row r="53" spans="1:9" x14ac:dyDescent="0.3">
      <c r="A53" s="1" t="s">
        <v>780</v>
      </c>
      <c r="B53" s="1" t="s">
        <v>781</v>
      </c>
      <c r="C53">
        <v>21.87</v>
      </c>
      <c r="D53">
        <v>1.7999999999999999E-2</v>
      </c>
      <c r="E53">
        <v>0.2</v>
      </c>
      <c r="F53">
        <v>0.34100000000000003</v>
      </c>
      <c r="G53">
        <v>493324416</v>
      </c>
      <c r="H53">
        <v>3339768126</v>
      </c>
      <c r="I53" s="1" t="s">
        <v>11</v>
      </c>
    </row>
    <row r="54" spans="1:9" x14ac:dyDescent="0.3">
      <c r="A54" s="1" t="s">
        <v>784</v>
      </c>
      <c r="B54" s="1" t="s">
        <v>785</v>
      </c>
      <c r="C54">
        <v>19.48</v>
      </c>
      <c r="D54">
        <v>1.9E-2</v>
      </c>
      <c r="E54">
        <v>0.14499999999999999</v>
      </c>
      <c r="F54">
        <v>0.40699999999999997</v>
      </c>
      <c r="G54">
        <v>1452378958</v>
      </c>
      <c r="H54">
        <v>3248973627</v>
      </c>
      <c r="I54" s="1" t="s">
        <v>11</v>
      </c>
    </row>
    <row r="55" spans="1:9" x14ac:dyDescent="0.3">
      <c r="A55" s="1" t="s">
        <v>775</v>
      </c>
      <c r="B55" s="1" t="s">
        <v>776</v>
      </c>
      <c r="C55">
        <v>313.37</v>
      </c>
      <c r="D55">
        <v>1.0999999999999999E-2</v>
      </c>
      <c r="E55">
        <v>-0.03</v>
      </c>
      <c r="F55">
        <v>-0.161</v>
      </c>
      <c r="G55">
        <v>1702648733</v>
      </c>
      <c r="H55">
        <v>3169056965</v>
      </c>
      <c r="I55" s="1" t="s">
        <v>11</v>
      </c>
    </row>
    <row r="56" spans="1:9" x14ac:dyDescent="0.3">
      <c r="A56" s="1" t="s">
        <v>118</v>
      </c>
      <c r="B56" s="1" t="s">
        <v>779</v>
      </c>
      <c r="C56">
        <v>3.18</v>
      </c>
      <c r="D56">
        <v>-5.0000000000000001E-3</v>
      </c>
      <c r="E56">
        <v>-0.17799999999999999</v>
      </c>
      <c r="F56">
        <v>-8.8999999999999996E-2</v>
      </c>
      <c r="G56">
        <v>5825374</v>
      </c>
      <c r="H56">
        <v>3028485677</v>
      </c>
      <c r="I56" s="1" t="s">
        <v>11</v>
      </c>
    </row>
    <row r="57" spans="1:9" x14ac:dyDescent="0.3">
      <c r="A57" s="1" t="s">
        <v>777</v>
      </c>
      <c r="B57" s="1" t="s">
        <v>778</v>
      </c>
      <c r="C57">
        <v>28.85</v>
      </c>
      <c r="D57">
        <v>1.2999999999999999E-2</v>
      </c>
      <c r="E57">
        <v>-3.0000000000000001E-3</v>
      </c>
      <c r="F57">
        <v>-6.6000000000000003E-2</v>
      </c>
      <c r="G57">
        <v>182179241</v>
      </c>
      <c r="H57">
        <v>2869711120</v>
      </c>
      <c r="I57" s="1" t="s">
        <v>11</v>
      </c>
    </row>
    <row r="58" spans="1:9" x14ac:dyDescent="0.3">
      <c r="A58" s="1" t="s">
        <v>782</v>
      </c>
      <c r="B58" s="1" t="s">
        <v>783</v>
      </c>
      <c r="C58">
        <v>253.28</v>
      </c>
      <c r="D58">
        <v>3.0000000000000001E-3</v>
      </c>
      <c r="E58">
        <v>5.0000000000000001E-3</v>
      </c>
      <c r="F58">
        <v>-0.115</v>
      </c>
      <c r="G58">
        <v>2091769389</v>
      </c>
      <c r="H58">
        <v>2808797536</v>
      </c>
      <c r="I58" s="1" t="s">
        <v>11</v>
      </c>
    </row>
    <row r="59" spans="1:9" x14ac:dyDescent="0.3">
      <c r="A59" s="1" t="s">
        <v>790</v>
      </c>
      <c r="B59" s="1" t="s">
        <v>861</v>
      </c>
      <c r="C59">
        <v>7.17</v>
      </c>
      <c r="D59">
        <v>1E-3</v>
      </c>
      <c r="E59">
        <v>1.7999999999999999E-2</v>
      </c>
      <c r="F59">
        <v>7.0000000000000001E-3</v>
      </c>
      <c r="G59">
        <v>18781077</v>
      </c>
      <c r="H59">
        <v>2745599390</v>
      </c>
      <c r="I59" s="1" t="s">
        <v>11</v>
      </c>
    </row>
    <row r="60" spans="1:9" x14ac:dyDescent="0.3">
      <c r="A60" s="1" t="s">
        <v>793</v>
      </c>
      <c r="B60" s="1" t="s">
        <v>794</v>
      </c>
      <c r="C60">
        <v>74199</v>
      </c>
      <c r="D60">
        <v>2.1000000000000001E-2</v>
      </c>
      <c r="E60">
        <v>0.107</v>
      </c>
      <c r="F60">
        <v>0.20399999999999999</v>
      </c>
      <c r="G60">
        <v>1039245666</v>
      </c>
      <c r="H60">
        <v>2639723250</v>
      </c>
      <c r="I60" s="1" t="s">
        <v>11</v>
      </c>
    </row>
    <row r="61" spans="1:9" x14ac:dyDescent="0.3">
      <c r="A61" s="1" t="s">
        <v>788</v>
      </c>
      <c r="B61" s="1" t="s">
        <v>789</v>
      </c>
      <c r="C61">
        <v>0.29380000000000001</v>
      </c>
      <c r="D61">
        <v>1.0999999999999999E-2</v>
      </c>
      <c r="E61">
        <v>1.9E-2</v>
      </c>
      <c r="F61">
        <v>-0.127</v>
      </c>
      <c r="G61">
        <v>240720327</v>
      </c>
      <c r="H61">
        <v>2631544807</v>
      </c>
      <c r="I61" s="1" t="s">
        <v>11</v>
      </c>
    </row>
    <row r="62" spans="1:9" x14ac:dyDescent="0.3">
      <c r="A62" s="1" t="s">
        <v>786</v>
      </c>
      <c r="B62" s="1" t="s">
        <v>787</v>
      </c>
      <c r="C62">
        <v>148.19999999999999</v>
      </c>
      <c r="D62">
        <v>-4.0000000000000001E-3</v>
      </c>
      <c r="E62">
        <v>-1.4999999999999999E-2</v>
      </c>
      <c r="F62">
        <v>-0.14699999999999999</v>
      </c>
      <c r="G62">
        <v>124485637</v>
      </c>
      <c r="H62">
        <v>2616594832</v>
      </c>
      <c r="I62" s="1" t="s">
        <v>11</v>
      </c>
    </row>
    <row r="63" spans="1:9" x14ac:dyDescent="0.3">
      <c r="A63" s="1" t="s">
        <v>791</v>
      </c>
      <c r="B63" s="1" t="s">
        <v>792</v>
      </c>
      <c r="C63">
        <v>0.30959999999999999</v>
      </c>
      <c r="D63">
        <v>5.0000000000000001E-3</v>
      </c>
      <c r="E63">
        <v>2E-3</v>
      </c>
      <c r="F63">
        <v>0.158</v>
      </c>
      <c r="G63">
        <v>226612140</v>
      </c>
      <c r="H63">
        <v>2544853777</v>
      </c>
      <c r="I63" s="1" t="s">
        <v>11</v>
      </c>
    </row>
    <row r="64" spans="1:9" x14ac:dyDescent="0.3">
      <c r="A64" s="1" t="s">
        <v>807</v>
      </c>
      <c r="B64" s="1" t="s">
        <v>808</v>
      </c>
      <c r="C64">
        <v>4.3299999999999998E-2</v>
      </c>
      <c r="D64">
        <v>6.0000000000000001E-3</v>
      </c>
      <c r="E64">
        <v>0.10100000000000001</v>
      </c>
      <c r="F64">
        <v>-0.28199999999999997</v>
      </c>
      <c r="G64">
        <v>73599981</v>
      </c>
      <c r="H64">
        <v>2370196742</v>
      </c>
      <c r="I64" s="1" t="s">
        <v>11</v>
      </c>
    </row>
    <row r="65" spans="1:9" x14ac:dyDescent="0.3">
      <c r="A65" s="1" t="s">
        <v>795</v>
      </c>
      <c r="B65" s="1" t="s">
        <v>796</v>
      </c>
      <c r="C65">
        <v>0.44109999999999999</v>
      </c>
      <c r="D65">
        <v>6.0000000000000001E-3</v>
      </c>
      <c r="E65">
        <v>3.5000000000000003E-2</v>
      </c>
      <c r="F65">
        <v>7.0000000000000001E-3</v>
      </c>
      <c r="G65">
        <v>534616094</v>
      </c>
      <c r="H65">
        <v>2354131953</v>
      </c>
      <c r="I65" s="1" t="s">
        <v>11</v>
      </c>
    </row>
    <row r="66" spans="1:9" x14ac:dyDescent="0.3">
      <c r="A66" s="1" t="s">
        <v>799</v>
      </c>
      <c r="B66" s="1" t="s">
        <v>800</v>
      </c>
      <c r="C66">
        <v>6.12</v>
      </c>
      <c r="D66">
        <v>1E-3</v>
      </c>
      <c r="E66">
        <v>4.8000000000000001E-2</v>
      </c>
      <c r="F66">
        <v>0.29099999999999998</v>
      </c>
      <c r="G66">
        <v>162592839</v>
      </c>
      <c r="H66">
        <v>2339278408</v>
      </c>
      <c r="I66" s="1" t="s">
        <v>11</v>
      </c>
    </row>
    <row r="67" spans="1:9" x14ac:dyDescent="0.3">
      <c r="A67" s="1" t="s">
        <v>797</v>
      </c>
      <c r="B67" s="1" t="s">
        <v>798</v>
      </c>
      <c r="C67">
        <v>177.85</v>
      </c>
      <c r="D67">
        <v>1.0999999999999999E-2</v>
      </c>
      <c r="E67">
        <v>6.0000000000000001E-3</v>
      </c>
      <c r="F67">
        <v>-0.155</v>
      </c>
      <c r="G67">
        <v>62761919</v>
      </c>
      <c r="H67">
        <v>2296782261</v>
      </c>
      <c r="I67" s="1" t="s">
        <v>11</v>
      </c>
    </row>
    <row r="68" spans="1:9" x14ac:dyDescent="0.3">
      <c r="A68" s="1" t="s">
        <v>803</v>
      </c>
      <c r="B68" s="1" t="s">
        <v>804</v>
      </c>
      <c r="C68">
        <v>6.08E-2</v>
      </c>
      <c r="D68">
        <v>1.2E-2</v>
      </c>
      <c r="E68">
        <v>3.7999999999999999E-2</v>
      </c>
      <c r="F68">
        <v>-0.112</v>
      </c>
      <c r="G68">
        <v>7103695</v>
      </c>
      <c r="H68">
        <v>2197174230</v>
      </c>
      <c r="I68" s="1" t="s">
        <v>11</v>
      </c>
    </row>
    <row r="69" spans="1:9" x14ac:dyDescent="0.3">
      <c r="A69" s="1" t="s">
        <v>801</v>
      </c>
      <c r="B69" s="1" t="s">
        <v>802</v>
      </c>
      <c r="C69">
        <v>0.18179999999999999</v>
      </c>
      <c r="D69">
        <v>6.0000000000000001E-3</v>
      </c>
      <c r="E69">
        <v>0.02</v>
      </c>
      <c r="F69">
        <v>-0.13600000000000001</v>
      </c>
      <c r="G69">
        <v>202625850</v>
      </c>
      <c r="H69">
        <v>2176117285</v>
      </c>
      <c r="I69" s="1" t="s">
        <v>11</v>
      </c>
    </row>
    <row r="70" spans="1:9" x14ac:dyDescent="0.3">
      <c r="A70" s="1" t="s">
        <v>809</v>
      </c>
      <c r="B70" s="1" t="s">
        <v>974</v>
      </c>
      <c r="C70">
        <v>1</v>
      </c>
      <c r="D70">
        <v>-1E-3</v>
      </c>
      <c r="E70">
        <v>0</v>
      </c>
      <c r="F70">
        <v>2E-3</v>
      </c>
      <c r="G70">
        <v>129207817</v>
      </c>
      <c r="H70">
        <v>2106195496</v>
      </c>
      <c r="I70" s="1" t="s">
        <v>11</v>
      </c>
    </row>
    <row r="71" spans="1:9" x14ac:dyDescent="0.3">
      <c r="A71" s="1" t="s">
        <v>812</v>
      </c>
      <c r="B71" s="1" t="s">
        <v>813</v>
      </c>
      <c r="C71">
        <v>1.14E-2</v>
      </c>
      <c r="D71">
        <v>4.0000000000000001E-3</v>
      </c>
      <c r="E71">
        <v>-3.5999999999999997E-2</v>
      </c>
      <c r="F71">
        <v>-0.112</v>
      </c>
      <c r="G71">
        <v>220055810</v>
      </c>
      <c r="H71">
        <v>2011923398</v>
      </c>
      <c r="I71" s="1" t="s">
        <v>11</v>
      </c>
    </row>
    <row r="72" spans="1:9" x14ac:dyDescent="0.3">
      <c r="A72" s="1" t="s">
        <v>805</v>
      </c>
      <c r="B72" s="1" t="s">
        <v>806</v>
      </c>
      <c r="C72">
        <v>18.149999999999999</v>
      </c>
      <c r="D72">
        <v>5.0000000000000001E-3</v>
      </c>
      <c r="E72">
        <v>3.0000000000000001E-3</v>
      </c>
      <c r="F72">
        <v>-0.22800000000000001</v>
      </c>
      <c r="G72">
        <v>1059906183</v>
      </c>
      <c r="H72">
        <v>1864632765</v>
      </c>
      <c r="I72" s="1" t="s">
        <v>11</v>
      </c>
    </row>
    <row r="73" spans="1:9" x14ac:dyDescent="0.3">
      <c r="A73" s="1" t="s">
        <v>814</v>
      </c>
      <c r="B73" s="1" t="s">
        <v>815</v>
      </c>
      <c r="C73">
        <v>2</v>
      </c>
      <c r="D73">
        <v>1.7999999999999999E-2</v>
      </c>
      <c r="E73">
        <v>6.0999999999999999E-2</v>
      </c>
      <c r="F73">
        <v>-9.4E-2</v>
      </c>
      <c r="G73">
        <v>227822861</v>
      </c>
      <c r="H73">
        <v>1861868930</v>
      </c>
      <c r="I73" s="1" t="s">
        <v>11</v>
      </c>
    </row>
    <row r="74" spans="1:9" x14ac:dyDescent="0.3">
      <c r="A74" s="1" t="s">
        <v>810</v>
      </c>
      <c r="B74" s="1" t="s">
        <v>811</v>
      </c>
      <c r="C74">
        <v>3.27</v>
      </c>
      <c r="D74">
        <v>6.0000000000000001E-3</v>
      </c>
      <c r="E74">
        <v>-2.4E-2</v>
      </c>
      <c r="F74">
        <v>-0.14299999999999999</v>
      </c>
      <c r="G74">
        <v>11680000</v>
      </c>
      <c r="H74">
        <v>1828831695</v>
      </c>
      <c r="I74" s="1" t="s">
        <v>11</v>
      </c>
    </row>
    <row r="75" spans="1:9" x14ac:dyDescent="0.3">
      <c r="A75" s="1" t="s">
        <v>816</v>
      </c>
      <c r="B75" s="1" t="s">
        <v>781</v>
      </c>
      <c r="C75">
        <v>1.1200000000000001</v>
      </c>
      <c r="D75">
        <v>1E-3</v>
      </c>
      <c r="E75">
        <v>5.0000000000000001E-3</v>
      </c>
      <c r="F75">
        <v>-0.14699999999999999</v>
      </c>
      <c r="G75">
        <v>305683909</v>
      </c>
      <c r="H75">
        <v>1671928647</v>
      </c>
      <c r="I75" s="1" t="s">
        <v>11</v>
      </c>
    </row>
    <row r="76" spans="1:9" x14ac:dyDescent="0.3">
      <c r="A76" s="1" t="s">
        <v>826</v>
      </c>
      <c r="B76" s="1" t="s">
        <v>827</v>
      </c>
      <c r="C76">
        <v>0.63170000000000004</v>
      </c>
      <c r="D76">
        <v>1.4999999999999999E-2</v>
      </c>
      <c r="E76">
        <v>2.4E-2</v>
      </c>
      <c r="F76">
        <v>-0.17799999999999999</v>
      </c>
      <c r="G76">
        <v>161535198</v>
      </c>
      <c r="H76">
        <v>1594455784</v>
      </c>
      <c r="I76" s="1" t="s">
        <v>11</v>
      </c>
    </row>
    <row r="77" spans="1:9" x14ac:dyDescent="0.3">
      <c r="A77" s="1" t="s">
        <v>824</v>
      </c>
      <c r="B77" s="1" t="s">
        <v>825</v>
      </c>
      <c r="C77">
        <v>1.21</v>
      </c>
      <c r="D77">
        <v>-4.0000000000000001E-3</v>
      </c>
      <c r="E77">
        <v>7.2999999999999995E-2</v>
      </c>
      <c r="F77">
        <v>-9.5000000000000001E-2</v>
      </c>
      <c r="G77">
        <v>273750013</v>
      </c>
      <c r="H77">
        <v>1589425236</v>
      </c>
      <c r="I77" s="1" t="s">
        <v>11</v>
      </c>
    </row>
    <row r="78" spans="1:9" x14ac:dyDescent="0.3">
      <c r="A78" s="1" t="s">
        <v>693</v>
      </c>
      <c r="B78" s="1" t="s">
        <v>821</v>
      </c>
      <c r="C78">
        <v>89.96</v>
      </c>
      <c r="D78">
        <v>5.0000000000000001E-3</v>
      </c>
      <c r="E78">
        <v>1.2E-2</v>
      </c>
      <c r="F78">
        <v>-0.19500000000000001</v>
      </c>
      <c r="G78">
        <v>27093754</v>
      </c>
      <c r="H78">
        <v>1568851682</v>
      </c>
      <c r="I78" s="1" t="s">
        <v>11</v>
      </c>
    </row>
    <row r="79" spans="1:9" x14ac:dyDescent="0.3">
      <c r="A79" s="1" t="s">
        <v>819</v>
      </c>
      <c r="B79" s="1" t="s">
        <v>820</v>
      </c>
      <c r="C79">
        <v>1.91</v>
      </c>
      <c r="D79">
        <v>8.0000000000000002E-3</v>
      </c>
      <c r="E79">
        <v>1.7999999999999999E-2</v>
      </c>
      <c r="F79">
        <v>-0.183</v>
      </c>
      <c r="G79">
        <v>735267234</v>
      </c>
      <c r="H79">
        <v>1563528967</v>
      </c>
      <c r="I79" s="1" t="s">
        <v>11</v>
      </c>
    </row>
    <row r="80" spans="1:9" x14ac:dyDescent="0.3">
      <c r="A80" s="1" t="s">
        <v>742</v>
      </c>
      <c r="B80" s="1" t="s">
        <v>832</v>
      </c>
      <c r="C80">
        <v>47304</v>
      </c>
      <c r="D80">
        <v>2E-3</v>
      </c>
      <c r="E80">
        <v>5.5E-2</v>
      </c>
      <c r="F80">
        <v>-0.154</v>
      </c>
      <c r="G80">
        <v>40785699</v>
      </c>
      <c r="H80">
        <v>1509296490</v>
      </c>
      <c r="I80" s="1" t="s">
        <v>11</v>
      </c>
    </row>
    <row r="81" spans="1:9" x14ac:dyDescent="0.3">
      <c r="A81" s="1" t="s">
        <v>817</v>
      </c>
      <c r="B81" s="1" t="s">
        <v>818</v>
      </c>
      <c r="C81">
        <v>1.24</v>
      </c>
      <c r="D81">
        <v>3.0000000000000001E-3</v>
      </c>
      <c r="E81">
        <v>-3.1E-2</v>
      </c>
      <c r="F81">
        <v>-0.109</v>
      </c>
      <c r="G81">
        <v>194967483</v>
      </c>
      <c r="H81">
        <v>1508668186</v>
      </c>
      <c r="I81" s="1" t="s">
        <v>11</v>
      </c>
    </row>
    <row r="82" spans="1:9" x14ac:dyDescent="0.3">
      <c r="A82" s="1" t="s">
        <v>822</v>
      </c>
      <c r="B82" s="1" t="s">
        <v>823</v>
      </c>
      <c r="C82">
        <v>1.44</v>
      </c>
      <c r="D82">
        <v>0.02</v>
      </c>
      <c r="E82">
        <v>0.01</v>
      </c>
      <c r="F82">
        <v>-0.17599999999999999</v>
      </c>
      <c r="G82">
        <v>19818015</v>
      </c>
      <c r="H82">
        <v>1508422457</v>
      </c>
      <c r="I82" s="1" t="s">
        <v>11</v>
      </c>
    </row>
    <row r="83" spans="1:9" x14ac:dyDescent="0.3">
      <c r="A83" s="1" t="s">
        <v>850</v>
      </c>
      <c r="B83" s="1" t="s">
        <v>851</v>
      </c>
      <c r="C83">
        <v>0.15920000000000001</v>
      </c>
      <c r="D83">
        <v>1.9E-2</v>
      </c>
      <c r="E83">
        <v>5.6000000000000001E-2</v>
      </c>
      <c r="F83">
        <v>0.317</v>
      </c>
      <c r="G83">
        <v>324493758</v>
      </c>
      <c r="H83">
        <v>1503942557</v>
      </c>
      <c r="I83" s="1" t="s">
        <v>11</v>
      </c>
    </row>
    <row r="84" spans="1:9" x14ac:dyDescent="0.3">
      <c r="A84" s="1" t="s">
        <v>828</v>
      </c>
      <c r="B84" s="1" t="s">
        <v>829</v>
      </c>
      <c r="C84">
        <v>0.1045</v>
      </c>
      <c r="D84">
        <v>5.0000000000000001E-3</v>
      </c>
      <c r="E84">
        <v>-0.04</v>
      </c>
      <c r="F84">
        <v>-0.189</v>
      </c>
      <c r="G84">
        <v>89703838</v>
      </c>
      <c r="H84">
        <v>1490734897</v>
      </c>
      <c r="I84" s="1" t="s">
        <v>11</v>
      </c>
    </row>
    <row r="85" spans="1:9" x14ac:dyDescent="0.3">
      <c r="A85" s="1" t="s">
        <v>835</v>
      </c>
      <c r="B85" s="1" t="s">
        <v>836</v>
      </c>
      <c r="C85">
        <v>10.99</v>
      </c>
      <c r="D85">
        <v>2.5000000000000001E-2</v>
      </c>
      <c r="E85">
        <v>5.1999999999999998E-2</v>
      </c>
      <c r="F85">
        <v>0.28000000000000003</v>
      </c>
      <c r="G85">
        <v>175821340</v>
      </c>
      <c r="H85">
        <v>1453026376</v>
      </c>
      <c r="I85" s="1" t="s">
        <v>11</v>
      </c>
    </row>
    <row r="86" spans="1:9" x14ac:dyDescent="0.3">
      <c r="A86" s="1" t="s">
        <v>833</v>
      </c>
      <c r="B86" s="1" t="s">
        <v>834</v>
      </c>
      <c r="C86">
        <v>0.99080000000000001</v>
      </c>
      <c r="D86">
        <v>5.0000000000000001E-3</v>
      </c>
      <c r="E86">
        <v>1E-3</v>
      </c>
      <c r="F86">
        <v>-8.0000000000000002E-3</v>
      </c>
      <c r="G86">
        <v>38473494</v>
      </c>
      <c r="H86">
        <v>1446106047</v>
      </c>
      <c r="I86" s="1" t="s">
        <v>11</v>
      </c>
    </row>
    <row r="87" spans="1:9" x14ac:dyDescent="0.3">
      <c r="A87" s="1" t="s">
        <v>830</v>
      </c>
      <c r="B87" s="1" t="s">
        <v>831</v>
      </c>
      <c r="C87">
        <v>23.66</v>
      </c>
      <c r="D87">
        <v>7.0000000000000001E-3</v>
      </c>
      <c r="E87">
        <v>1.9E-2</v>
      </c>
      <c r="F87">
        <v>-0.18</v>
      </c>
      <c r="G87">
        <v>73230472</v>
      </c>
      <c r="H87">
        <v>1425154534</v>
      </c>
      <c r="I87" s="1" t="s">
        <v>11</v>
      </c>
    </row>
    <row r="88" spans="1:9" x14ac:dyDescent="0.3">
      <c r="A88" s="1" t="s">
        <v>841</v>
      </c>
      <c r="B88" s="1" t="s">
        <v>842</v>
      </c>
      <c r="C88">
        <v>2.87E-2</v>
      </c>
      <c r="D88">
        <v>3.5000000000000003E-2</v>
      </c>
      <c r="E88">
        <v>3.2000000000000001E-2</v>
      </c>
      <c r="F88">
        <v>-0.187</v>
      </c>
      <c r="G88">
        <v>113312214</v>
      </c>
      <c r="H88">
        <v>1364047436</v>
      </c>
      <c r="I88" s="1" t="s">
        <v>11</v>
      </c>
    </row>
    <row r="89" spans="1:9" x14ac:dyDescent="0.3">
      <c r="A89" s="1" t="s">
        <v>966</v>
      </c>
      <c r="B89" s="1" t="s">
        <v>967</v>
      </c>
      <c r="C89">
        <v>21.95</v>
      </c>
      <c r="D89">
        <v>1.4999999999999999E-2</v>
      </c>
      <c r="E89">
        <v>0.13500000000000001</v>
      </c>
      <c r="F89">
        <v>0.377</v>
      </c>
      <c r="G89">
        <v>4296952</v>
      </c>
      <c r="H89">
        <v>1346847472</v>
      </c>
      <c r="I89" s="1" t="s">
        <v>11</v>
      </c>
    </row>
    <row r="90" spans="1:9" x14ac:dyDescent="0.3">
      <c r="A90" s="1" t="s">
        <v>846</v>
      </c>
      <c r="B90" s="1" t="s">
        <v>847</v>
      </c>
      <c r="C90">
        <v>1.6</v>
      </c>
      <c r="D90">
        <v>1.4E-2</v>
      </c>
      <c r="E90">
        <v>4.2000000000000003E-2</v>
      </c>
      <c r="F90">
        <v>-8.8999999999999996E-2</v>
      </c>
      <c r="G90">
        <v>252805419</v>
      </c>
      <c r="H90">
        <v>1340391345</v>
      </c>
      <c r="I90" s="1" t="s">
        <v>11</v>
      </c>
    </row>
    <row r="91" spans="1:9" x14ac:dyDescent="0.3">
      <c r="A91" s="1" t="s">
        <v>839</v>
      </c>
      <c r="B91" s="1" t="s">
        <v>840</v>
      </c>
      <c r="C91">
        <v>120.78</v>
      </c>
      <c r="D91">
        <v>4.0000000000000001E-3</v>
      </c>
      <c r="E91">
        <v>-1.2E-2</v>
      </c>
      <c r="F91">
        <v>-6.8000000000000005E-2</v>
      </c>
      <c r="G91">
        <v>114392427</v>
      </c>
      <c r="H91">
        <v>1330911494</v>
      </c>
      <c r="I91" s="1" t="s">
        <v>11</v>
      </c>
    </row>
    <row r="92" spans="1:9" x14ac:dyDescent="0.3">
      <c r="A92" s="1" t="s">
        <v>843</v>
      </c>
      <c r="B92" s="1" t="s">
        <v>781</v>
      </c>
      <c r="C92">
        <v>6.7</v>
      </c>
      <c r="D92">
        <v>0.01</v>
      </c>
      <c r="E92">
        <v>1.9E-2</v>
      </c>
      <c r="F92">
        <v>-0.11799999999999999</v>
      </c>
      <c r="G92">
        <v>241856570</v>
      </c>
      <c r="H92">
        <v>1325407526</v>
      </c>
      <c r="I92" s="1" t="s">
        <v>11</v>
      </c>
    </row>
    <row r="93" spans="1:9" x14ac:dyDescent="0.3">
      <c r="A93" s="1" t="s">
        <v>856</v>
      </c>
      <c r="B93" s="1" t="s">
        <v>781</v>
      </c>
      <c r="C93">
        <v>3.46</v>
      </c>
      <c r="D93">
        <v>4.0000000000000001E-3</v>
      </c>
      <c r="E93">
        <v>0.108</v>
      </c>
      <c r="F93">
        <v>0.11799999999999999</v>
      </c>
      <c r="G93">
        <v>533453896</v>
      </c>
      <c r="H93">
        <v>1271215575</v>
      </c>
      <c r="I93" s="1" t="s">
        <v>11</v>
      </c>
    </row>
    <row r="94" spans="1:9" x14ac:dyDescent="0.3">
      <c r="A94" s="1" t="s">
        <v>837</v>
      </c>
      <c r="B94" s="1" t="s">
        <v>838</v>
      </c>
      <c r="C94">
        <v>7.7</v>
      </c>
      <c r="D94">
        <v>-3.0000000000000001E-3</v>
      </c>
      <c r="E94">
        <v>-1.2E-2</v>
      </c>
      <c r="F94">
        <v>-7.0000000000000007E-2</v>
      </c>
      <c r="G94">
        <v>92445421</v>
      </c>
      <c r="H94">
        <v>1263092846</v>
      </c>
      <c r="I94" s="1" t="s">
        <v>11</v>
      </c>
    </row>
    <row r="95" spans="1:9" x14ac:dyDescent="0.3">
      <c r="A95" s="1" t="s">
        <v>186</v>
      </c>
      <c r="B95" s="1" t="s">
        <v>845</v>
      </c>
      <c r="C95">
        <v>9.02</v>
      </c>
      <c r="D95">
        <v>0.01</v>
      </c>
      <c r="E95">
        <v>2.1000000000000001E-2</v>
      </c>
      <c r="F95">
        <v>-0.105</v>
      </c>
      <c r="G95">
        <v>536734239</v>
      </c>
      <c r="H95">
        <v>1259465884</v>
      </c>
      <c r="I95" s="1" t="s">
        <v>11</v>
      </c>
    </row>
    <row r="96" spans="1:9" x14ac:dyDescent="0.3">
      <c r="A96" s="1" t="s">
        <v>857</v>
      </c>
      <c r="B96" s="1" t="s">
        <v>858</v>
      </c>
      <c r="C96">
        <v>1</v>
      </c>
      <c r="D96">
        <v>3.0000000000000001E-3</v>
      </c>
      <c r="E96">
        <v>1E-3</v>
      </c>
      <c r="F96">
        <v>2E-3</v>
      </c>
      <c r="G96">
        <v>120491753</v>
      </c>
      <c r="H96">
        <v>1244582475</v>
      </c>
      <c r="I96" s="1" t="s">
        <v>11</v>
      </c>
    </row>
    <row r="97" spans="1:9" x14ac:dyDescent="0.3">
      <c r="A97" s="1" t="s">
        <v>852</v>
      </c>
      <c r="B97" s="1" t="s">
        <v>853</v>
      </c>
      <c r="C97">
        <v>1.99</v>
      </c>
      <c r="D97">
        <v>2.1000000000000001E-2</v>
      </c>
      <c r="E97">
        <v>2.5000000000000001E-2</v>
      </c>
      <c r="F97">
        <v>-0.13900000000000001</v>
      </c>
      <c r="G97">
        <v>115797585</v>
      </c>
      <c r="H97">
        <v>1240044477</v>
      </c>
      <c r="I97" s="1" t="s">
        <v>11</v>
      </c>
    </row>
    <row r="98" spans="1:9" x14ac:dyDescent="0.3">
      <c r="A98" s="1" t="s">
        <v>854</v>
      </c>
      <c r="B98" s="1" t="s">
        <v>855</v>
      </c>
      <c r="C98">
        <v>14.96</v>
      </c>
      <c r="D98">
        <v>-3.0000000000000001E-3</v>
      </c>
      <c r="E98">
        <v>7.4999999999999997E-2</v>
      </c>
      <c r="F98">
        <v>-6.9000000000000006E-2</v>
      </c>
      <c r="G98">
        <v>18392101</v>
      </c>
      <c r="H98">
        <v>1239485519</v>
      </c>
      <c r="I98" s="1" t="s">
        <v>11</v>
      </c>
    </row>
    <row r="99" spans="1:9" x14ac:dyDescent="0.3">
      <c r="A99" s="1" t="s">
        <v>844</v>
      </c>
      <c r="B99" s="1" t="s">
        <v>862</v>
      </c>
      <c r="C99">
        <v>6.84</v>
      </c>
      <c r="D99">
        <v>4.0000000000000001E-3</v>
      </c>
      <c r="E99">
        <v>8.9999999999999993E-3</v>
      </c>
      <c r="F99">
        <v>-0.22700000000000001</v>
      </c>
      <c r="G99">
        <v>2597894</v>
      </c>
      <c r="H99">
        <v>1235632229</v>
      </c>
      <c r="I99" s="1" t="s">
        <v>11</v>
      </c>
    </row>
    <row r="100" spans="1:9" x14ac:dyDescent="0.3">
      <c r="A100" s="1" t="s">
        <v>848</v>
      </c>
      <c r="B100" s="1" t="s">
        <v>849</v>
      </c>
      <c r="C100">
        <v>3502.93</v>
      </c>
      <c r="D100">
        <v>5.0000000000000001E-3</v>
      </c>
      <c r="E100">
        <v>2E-3</v>
      </c>
      <c r="F100">
        <v>-0.124</v>
      </c>
      <c r="G100">
        <v>5179785</v>
      </c>
      <c r="H100">
        <v>1223862115</v>
      </c>
      <c r="I100" s="1" t="s">
        <v>11</v>
      </c>
    </row>
    <row r="101" spans="1:9" x14ac:dyDescent="0.3">
      <c r="A101" s="1" t="s">
        <v>963</v>
      </c>
      <c r="B101" s="1" t="s">
        <v>964</v>
      </c>
      <c r="C101">
        <v>1</v>
      </c>
      <c r="D101">
        <v>4.0000000000000001E-3</v>
      </c>
      <c r="E101">
        <v>-6.0000000000000001E-3</v>
      </c>
      <c r="F101">
        <v>-1E-3</v>
      </c>
      <c r="G101">
        <v>219486390</v>
      </c>
      <c r="H101">
        <v>1196320202</v>
      </c>
      <c r="I101" s="1" t="s">
        <v>11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A096C-ECB9-4573-87AF-E92773FBA521}">
  <dimension ref="A1:I101"/>
  <sheetViews>
    <sheetView workbookViewId="0">
      <selection activeCell="D3" sqref="D3"/>
    </sheetView>
  </sheetViews>
  <sheetFormatPr defaultRowHeight="14.4" x14ac:dyDescent="0.3"/>
  <cols>
    <col min="1" max="1" width="4.21875" bestFit="1" customWidth="1"/>
    <col min="2" max="2" width="14.33203125" bestFit="1" customWidth="1"/>
    <col min="3" max="3" width="13.6640625" bestFit="1" customWidth="1"/>
    <col min="4" max="5" width="8" bestFit="1" customWidth="1"/>
    <col min="6" max="6" width="21.109375" bestFit="1" customWidth="1"/>
    <col min="7" max="7" width="4.21875" bestFit="1" customWidth="1"/>
    <col min="8" max="8" width="18" bestFit="1" customWidth="1"/>
    <col min="9" max="9" width="9.21875" bestFit="1" customWidth="1"/>
    <col min="10" max="10" width="4.21875" bestFit="1" customWidth="1"/>
    <col min="11" max="11" width="18" bestFit="1" customWidth="1"/>
    <col min="12" max="12" width="9.21875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1</v>
      </c>
      <c r="B2" s="1" t="s">
        <v>9</v>
      </c>
      <c r="C2" s="1" t="s">
        <v>10</v>
      </c>
      <c r="D2">
        <v>45415</v>
      </c>
      <c r="E2">
        <v>64805</v>
      </c>
      <c r="F2">
        <v>2.0999999999999999E-3</v>
      </c>
      <c r="G2" s="1" t="s">
        <v>11</v>
      </c>
      <c r="H2">
        <v>-0.30220000000000002</v>
      </c>
      <c r="I2">
        <v>0.42699999999999999</v>
      </c>
    </row>
    <row r="3" spans="1:9" x14ac:dyDescent="0.3">
      <c r="A3">
        <v>2</v>
      </c>
      <c r="B3" s="1" t="s">
        <v>12</v>
      </c>
      <c r="C3" s="1" t="s">
        <v>13</v>
      </c>
      <c r="D3">
        <v>3530.62</v>
      </c>
      <c r="E3">
        <v>4356.99</v>
      </c>
      <c r="F3">
        <v>6.1999999999999998E-3</v>
      </c>
      <c r="G3" s="1" t="s">
        <v>11</v>
      </c>
      <c r="H3">
        <v>-0.1925</v>
      </c>
      <c r="I3">
        <v>0.2341</v>
      </c>
    </row>
    <row r="4" spans="1:9" x14ac:dyDescent="0.3">
      <c r="A4">
        <v>3</v>
      </c>
      <c r="B4" s="1" t="s">
        <v>14</v>
      </c>
      <c r="C4" s="1" t="s">
        <v>15</v>
      </c>
      <c r="D4">
        <v>527.57000000000005</v>
      </c>
      <c r="E4">
        <v>686.31</v>
      </c>
      <c r="F4">
        <v>-1.6500000000000001E-2</v>
      </c>
      <c r="G4" s="1" t="s">
        <v>11</v>
      </c>
      <c r="H4">
        <v>-0.23280000000000001</v>
      </c>
      <c r="I4">
        <v>0.3009</v>
      </c>
    </row>
    <row r="5" spans="1:9" x14ac:dyDescent="0.3">
      <c r="A5">
        <v>4</v>
      </c>
      <c r="B5" s="1" t="s">
        <v>21</v>
      </c>
      <c r="C5" s="1" t="s">
        <v>22</v>
      </c>
      <c r="D5">
        <v>1.53</v>
      </c>
      <c r="E5">
        <v>3.4</v>
      </c>
      <c r="F5">
        <v>5.2600000000000001E-2</v>
      </c>
      <c r="G5" s="1" t="s">
        <v>11</v>
      </c>
      <c r="H5">
        <v>-0.55379999999999996</v>
      </c>
      <c r="I5">
        <v>1.2222</v>
      </c>
    </row>
    <row r="6" spans="1:9" x14ac:dyDescent="0.3">
      <c r="A6">
        <v>5</v>
      </c>
      <c r="B6" s="1" t="s">
        <v>17</v>
      </c>
      <c r="C6" s="1" t="s">
        <v>18</v>
      </c>
      <c r="D6">
        <v>2.1</v>
      </c>
      <c r="E6">
        <v>2.4500000000000002</v>
      </c>
      <c r="F6">
        <v>-4.9099999999999998E-2</v>
      </c>
      <c r="G6" s="1" t="s">
        <v>11</v>
      </c>
      <c r="H6">
        <v>-0.14330000000000001</v>
      </c>
      <c r="I6">
        <v>0.16669999999999999</v>
      </c>
    </row>
    <row r="7" spans="1:9" x14ac:dyDescent="0.3">
      <c r="A7">
        <v>6</v>
      </c>
      <c r="B7" s="1" t="s">
        <v>19</v>
      </c>
      <c r="C7" s="1" t="s">
        <v>20</v>
      </c>
      <c r="D7">
        <v>0.49509999999999998</v>
      </c>
      <c r="E7">
        <v>0.73160000000000003</v>
      </c>
      <c r="F7">
        <v>-3.2800000000000003E-2</v>
      </c>
      <c r="G7" s="1" t="s">
        <v>11</v>
      </c>
      <c r="H7">
        <v>-0.32450000000000001</v>
      </c>
      <c r="I7">
        <v>0.47760000000000002</v>
      </c>
    </row>
    <row r="8" spans="1:9" x14ac:dyDescent="0.3">
      <c r="A8">
        <v>7</v>
      </c>
      <c r="B8" s="1" t="s">
        <v>23</v>
      </c>
      <c r="C8" s="1" t="s">
        <v>24</v>
      </c>
      <c r="D8">
        <v>1</v>
      </c>
      <c r="E8">
        <v>1.32</v>
      </c>
      <c r="F8">
        <v>-1.8E-3</v>
      </c>
      <c r="G8" s="1" t="s">
        <v>11</v>
      </c>
      <c r="H8">
        <v>-0.24279999999999999</v>
      </c>
      <c r="I8">
        <v>0.32</v>
      </c>
    </row>
    <row r="9" spans="1:9" x14ac:dyDescent="0.3">
      <c r="A9">
        <v>8</v>
      </c>
      <c r="B9" s="1" t="s">
        <v>25</v>
      </c>
      <c r="C9" s="1" t="s">
        <v>26</v>
      </c>
      <c r="D9">
        <v>41.2</v>
      </c>
      <c r="E9">
        <v>49.35</v>
      </c>
      <c r="F9">
        <v>3.2399999999999998E-2</v>
      </c>
      <c r="G9" s="1" t="s">
        <v>11</v>
      </c>
      <c r="H9">
        <v>-0.1714</v>
      </c>
      <c r="I9">
        <v>0.1978</v>
      </c>
    </row>
    <row r="10" spans="1:9" x14ac:dyDescent="0.3">
      <c r="A10">
        <v>9</v>
      </c>
      <c r="B10" s="1" t="s">
        <v>9</v>
      </c>
      <c r="C10" s="1" t="s">
        <v>27</v>
      </c>
      <c r="D10">
        <v>1134.6300000000001</v>
      </c>
      <c r="E10">
        <v>3785.82</v>
      </c>
      <c r="F10">
        <v>2.47E-2</v>
      </c>
      <c r="G10" s="1" t="s">
        <v>11</v>
      </c>
      <c r="H10">
        <v>-0.70169999999999999</v>
      </c>
      <c r="I10">
        <v>2.3365999999999998</v>
      </c>
    </row>
    <row r="11" spans="1:9" x14ac:dyDescent="0.3">
      <c r="A11">
        <v>10</v>
      </c>
      <c r="B11" s="1" t="s">
        <v>28</v>
      </c>
      <c r="C11" s="1" t="s">
        <v>29</v>
      </c>
      <c r="D11">
        <v>307.27999999999997</v>
      </c>
      <c r="E11">
        <v>410.26</v>
      </c>
      <c r="F11">
        <v>7.4499999999999997E-2</v>
      </c>
      <c r="G11" s="1" t="s">
        <v>11</v>
      </c>
      <c r="H11">
        <v>-0.25090000000000001</v>
      </c>
      <c r="I11">
        <v>0.33510000000000001</v>
      </c>
    </row>
    <row r="12" spans="1:9" x14ac:dyDescent="0.3">
      <c r="A12">
        <v>11</v>
      </c>
      <c r="B12" s="1" t="s">
        <v>30</v>
      </c>
      <c r="C12" s="1" t="s">
        <v>31</v>
      </c>
      <c r="D12">
        <v>36.1</v>
      </c>
      <c r="E12">
        <v>44.92</v>
      </c>
      <c r="F12">
        <v>2.3099999999999999E-2</v>
      </c>
      <c r="G12" s="1" t="s">
        <v>11</v>
      </c>
      <c r="H12">
        <v>-0.19620000000000001</v>
      </c>
      <c r="I12">
        <v>0.24429999999999999</v>
      </c>
    </row>
    <row r="13" spans="1:9" x14ac:dyDescent="0.3">
      <c r="A13">
        <v>12</v>
      </c>
      <c r="B13" s="1" t="s">
        <v>32</v>
      </c>
      <c r="C13" s="1" t="s">
        <v>33</v>
      </c>
      <c r="D13">
        <v>40.159999999999997</v>
      </c>
      <c r="E13">
        <v>52.7</v>
      </c>
      <c r="F13">
        <v>2.7E-2</v>
      </c>
      <c r="G13" s="1" t="s">
        <v>11</v>
      </c>
      <c r="H13">
        <v>-0.23849999999999999</v>
      </c>
      <c r="I13">
        <v>0.31230000000000002</v>
      </c>
    </row>
    <row r="14" spans="1:9" x14ac:dyDescent="0.3">
      <c r="A14">
        <v>13</v>
      </c>
      <c r="B14" s="1" t="s">
        <v>34</v>
      </c>
      <c r="C14" s="1" t="s">
        <v>35</v>
      </c>
      <c r="D14">
        <v>1</v>
      </c>
      <c r="E14">
        <v>1.17</v>
      </c>
      <c r="F14">
        <v>-2E-3</v>
      </c>
      <c r="G14" s="1" t="s">
        <v>11</v>
      </c>
      <c r="H14">
        <v>-0.14660000000000001</v>
      </c>
      <c r="I14">
        <v>0.17</v>
      </c>
    </row>
    <row r="15" spans="1:9" x14ac:dyDescent="0.3">
      <c r="A15">
        <v>14</v>
      </c>
      <c r="B15" s="1" t="s">
        <v>36</v>
      </c>
      <c r="C15" s="1" t="s">
        <v>37</v>
      </c>
      <c r="D15">
        <v>0.66220000000000001</v>
      </c>
      <c r="E15">
        <v>0.87560000000000004</v>
      </c>
      <c r="F15">
        <v>-3.8300000000000001E-2</v>
      </c>
      <c r="G15" s="1" t="s">
        <v>11</v>
      </c>
      <c r="H15">
        <v>-0.24479999999999999</v>
      </c>
      <c r="I15">
        <v>0.32229999999999998</v>
      </c>
    </row>
    <row r="16" spans="1:9" x14ac:dyDescent="0.3">
      <c r="A16">
        <v>15</v>
      </c>
      <c r="B16" s="1" t="s">
        <v>41</v>
      </c>
      <c r="C16" s="1" t="s">
        <v>42</v>
      </c>
      <c r="D16">
        <v>52.5</v>
      </c>
      <c r="E16">
        <v>52.04</v>
      </c>
      <c r="F16">
        <v>3.44E-2</v>
      </c>
      <c r="G16" s="1" t="s">
        <v>11</v>
      </c>
      <c r="H16">
        <v>2.0000000000000001E-4</v>
      </c>
      <c r="I16">
        <v>-8.8000000000000005E-3</v>
      </c>
    </row>
    <row r="17" spans="1:9" x14ac:dyDescent="0.3">
      <c r="A17">
        <v>16</v>
      </c>
      <c r="B17" s="1" t="s">
        <v>43</v>
      </c>
      <c r="C17" s="1" t="s">
        <v>44</v>
      </c>
      <c r="D17">
        <v>2.16</v>
      </c>
      <c r="E17">
        <v>2.1800000000000002</v>
      </c>
      <c r="F17">
        <v>0.32769999999999999</v>
      </c>
      <c r="G17" s="1" t="s">
        <v>11</v>
      </c>
      <c r="H17">
        <v>-6.4000000000000003E-3</v>
      </c>
      <c r="I17">
        <v>9.2999999999999992E-3</v>
      </c>
    </row>
    <row r="18" spans="1:9" x14ac:dyDescent="0.3">
      <c r="A18">
        <v>17</v>
      </c>
      <c r="B18" s="1" t="s">
        <v>12</v>
      </c>
      <c r="C18" s="1" t="s">
        <v>38</v>
      </c>
      <c r="D18">
        <v>91.68</v>
      </c>
      <c r="E18">
        <v>167.09</v>
      </c>
      <c r="F18">
        <v>2.8E-3</v>
      </c>
      <c r="G18" s="1" t="s">
        <v>11</v>
      </c>
      <c r="H18">
        <v>-0.4526</v>
      </c>
      <c r="I18">
        <v>0.82250000000000001</v>
      </c>
    </row>
    <row r="19" spans="1:9" x14ac:dyDescent="0.3">
      <c r="A19">
        <v>18</v>
      </c>
      <c r="B19" s="1" t="s">
        <v>39</v>
      </c>
      <c r="C19" s="1" t="s">
        <v>40</v>
      </c>
      <c r="D19">
        <v>0.16980000000000001</v>
      </c>
      <c r="E19">
        <v>0.28100000000000003</v>
      </c>
      <c r="F19">
        <v>-1.2500000000000001E-2</v>
      </c>
      <c r="G19" s="1" t="s">
        <v>11</v>
      </c>
      <c r="H19">
        <v>-0.39810000000000001</v>
      </c>
      <c r="I19">
        <v>0.65449999999999997</v>
      </c>
    </row>
    <row r="20" spans="1:9" x14ac:dyDescent="0.3">
      <c r="A20">
        <v>19</v>
      </c>
      <c r="B20" s="1" t="s">
        <v>47</v>
      </c>
      <c r="C20" s="1" t="s">
        <v>48</v>
      </c>
      <c r="D20">
        <v>10.08</v>
      </c>
      <c r="E20">
        <v>15.72</v>
      </c>
      <c r="F20">
        <v>8.6E-3</v>
      </c>
      <c r="G20" s="1" t="s">
        <v>11</v>
      </c>
      <c r="H20">
        <v>-0.36180000000000001</v>
      </c>
      <c r="I20">
        <v>0.5595</v>
      </c>
    </row>
    <row r="21" spans="1:9" x14ac:dyDescent="0.3">
      <c r="A21">
        <v>20</v>
      </c>
      <c r="B21" s="1" t="s">
        <v>45</v>
      </c>
      <c r="C21" s="1" t="s">
        <v>46</v>
      </c>
      <c r="D21">
        <v>9.51</v>
      </c>
      <c r="E21">
        <v>22.71</v>
      </c>
      <c r="F21">
        <v>-1.9E-3</v>
      </c>
      <c r="G21" s="1" t="s">
        <v>11</v>
      </c>
      <c r="H21">
        <v>-0.58250000000000002</v>
      </c>
      <c r="I21">
        <v>1.3879999999999999</v>
      </c>
    </row>
    <row r="22" spans="1:9" x14ac:dyDescent="0.3">
      <c r="A22">
        <v>21</v>
      </c>
      <c r="B22" s="1" t="s">
        <v>51</v>
      </c>
      <c r="C22" s="1" t="s">
        <v>52</v>
      </c>
      <c r="D22">
        <v>0</v>
      </c>
      <c r="E22">
        <v>0</v>
      </c>
      <c r="F22">
        <v>4.9399999999999999E-2</v>
      </c>
      <c r="G22" s="1" t="s">
        <v>11</v>
      </c>
      <c r="H22">
        <v>-0.54830000000000001</v>
      </c>
      <c r="I22">
        <v>1.1990000000000001</v>
      </c>
    </row>
    <row r="23" spans="1:9" x14ac:dyDescent="0.3">
      <c r="A23">
        <v>22</v>
      </c>
      <c r="B23" s="1" t="s">
        <v>53</v>
      </c>
      <c r="C23" s="1" t="s">
        <v>54</v>
      </c>
      <c r="D23">
        <v>0.11799999999999999</v>
      </c>
      <c r="E23">
        <v>0.23169999999999999</v>
      </c>
      <c r="F23">
        <v>0.01</v>
      </c>
      <c r="G23" s="1" t="s">
        <v>11</v>
      </c>
      <c r="H23">
        <v>-0.49349999999999999</v>
      </c>
      <c r="I23">
        <v>0.96330000000000005</v>
      </c>
    </row>
    <row r="24" spans="1:9" x14ac:dyDescent="0.3">
      <c r="A24">
        <v>23</v>
      </c>
      <c r="B24" s="1" t="s">
        <v>62</v>
      </c>
      <c r="C24" s="1" t="s">
        <v>63</v>
      </c>
      <c r="D24">
        <v>658.2</v>
      </c>
      <c r="E24">
        <v>658.76</v>
      </c>
      <c r="F24">
        <v>0.18360000000000001</v>
      </c>
      <c r="G24" s="1" t="s">
        <v>11</v>
      </c>
      <c r="H24">
        <v>-4.0000000000000002E-4</v>
      </c>
      <c r="I24">
        <v>8.9999999999999998E-4</v>
      </c>
    </row>
    <row r="25" spans="1:9" x14ac:dyDescent="0.3">
      <c r="A25">
        <v>24</v>
      </c>
      <c r="B25" s="1" t="s">
        <v>55</v>
      </c>
      <c r="C25" s="1" t="s">
        <v>56</v>
      </c>
      <c r="D25">
        <v>45377</v>
      </c>
      <c r="E25">
        <v>64565</v>
      </c>
      <c r="F25">
        <v>5.9999999999999995E-4</v>
      </c>
      <c r="G25" s="1" t="s">
        <v>11</v>
      </c>
      <c r="H25">
        <v>-0.2979</v>
      </c>
      <c r="I25">
        <v>0.4229</v>
      </c>
    </row>
    <row r="26" spans="1:9" x14ac:dyDescent="0.3">
      <c r="A26">
        <v>25</v>
      </c>
      <c r="B26" s="1" t="s">
        <v>14</v>
      </c>
      <c r="C26" s="1" t="s">
        <v>59</v>
      </c>
      <c r="D26">
        <v>1</v>
      </c>
      <c r="E26">
        <v>1.1499999999999999</v>
      </c>
      <c r="F26">
        <v>6.8999999999999999E-3</v>
      </c>
      <c r="G26" s="1" t="s">
        <v>11</v>
      </c>
      <c r="H26">
        <v>-0.13139999999999999</v>
      </c>
      <c r="I26">
        <v>0.15</v>
      </c>
    </row>
    <row r="27" spans="1:9" x14ac:dyDescent="0.3">
      <c r="A27">
        <v>26</v>
      </c>
      <c r="B27" s="1" t="s">
        <v>49</v>
      </c>
      <c r="C27" s="1" t="s">
        <v>50</v>
      </c>
      <c r="D27">
        <v>29.41</v>
      </c>
      <c r="E27">
        <v>44.01</v>
      </c>
      <c r="F27">
        <v>-5.9999999999999995E-4</v>
      </c>
      <c r="G27" s="1" t="s">
        <v>11</v>
      </c>
      <c r="H27">
        <v>-0.33460000000000001</v>
      </c>
      <c r="I27">
        <v>0.49640000000000001</v>
      </c>
    </row>
    <row r="28" spans="1:9" x14ac:dyDescent="0.3">
      <c r="A28">
        <v>27</v>
      </c>
      <c r="B28" s="1" t="s">
        <v>57</v>
      </c>
      <c r="C28" s="1" t="s">
        <v>58</v>
      </c>
      <c r="D28">
        <v>103.91</v>
      </c>
      <c r="E28">
        <v>236.84</v>
      </c>
      <c r="F28">
        <v>3.8E-3</v>
      </c>
      <c r="G28" s="1" t="s">
        <v>11</v>
      </c>
      <c r="H28">
        <v>-0.56230000000000002</v>
      </c>
      <c r="I28">
        <v>1.2793000000000001</v>
      </c>
    </row>
    <row r="29" spans="1:9" x14ac:dyDescent="0.3">
      <c r="A29">
        <v>28</v>
      </c>
      <c r="B29" s="1" t="s">
        <v>60</v>
      </c>
      <c r="C29" s="1" t="s">
        <v>61</v>
      </c>
      <c r="D29">
        <v>353.45</v>
      </c>
      <c r="E29">
        <v>542.33000000000004</v>
      </c>
      <c r="F29">
        <v>-2.2800000000000001E-2</v>
      </c>
      <c r="G29" s="1" t="s">
        <v>11</v>
      </c>
      <c r="H29">
        <v>-0.34899999999999998</v>
      </c>
      <c r="I29">
        <v>0.53439999999999999</v>
      </c>
    </row>
    <row r="30" spans="1:9" x14ac:dyDescent="0.3">
      <c r="A30">
        <v>29</v>
      </c>
      <c r="B30" s="1" t="s">
        <v>64</v>
      </c>
      <c r="C30" s="1" t="s">
        <v>65</v>
      </c>
      <c r="D30">
        <v>89.57</v>
      </c>
      <c r="E30">
        <v>198.38</v>
      </c>
      <c r="F30">
        <v>-2.3999999999999998E-3</v>
      </c>
      <c r="G30" s="1" t="s">
        <v>11</v>
      </c>
      <c r="H30">
        <v>-0.55030000000000001</v>
      </c>
      <c r="I30">
        <v>1.2148000000000001</v>
      </c>
    </row>
    <row r="31" spans="1:9" x14ac:dyDescent="0.3">
      <c r="A31">
        <v>30</v>
      </c>
      <c r="B31" s="1" t="s">
        <v>71</v>
      </c>
      <c r="C31" s="1" t="s">
        <v>72</v>
      </c>
      <c r="D31">
        <v>15.55</v>
      </c>
      <c r="E31">
        <v>22.36</v>
      </c>
      <c r="F31">
        <v>-2.9999999999999997E-4</v>
      </c>
      <c r="G31" s="1" t="s">
        <v>11</v>
      </c>
      <c r="H31">
        <v>-0.30609999999999998</v>
      </c>
      <c r="I31">
        <v>0.43790000000000001</v>
      </c>
    </row>
    <row r="32" spans="1:9" x14ac:dyDescent="0.3">
      <c r="A32">
        <v>31</v>
      </c>
      <c r="B32" s="1" t="s">
        <v>77</v>
      </c>
      <c r="C32" s="1" t="s">
        <v>78</v>
      </c>
      <c r="D32">
        <v>2</v>
      </c>
      <c r="E32">
        <v>5.25</v>
      </c>
      <c r="F32">
        <v>3.4700000000000002E-2</v>
      </c>
      <c r="G32" s="1" t="s">
        <v>11</v>
      </c>
      <c r="H32">
        <v>-0.61770000000000003</v>
      </c>
      <c r="I32">
        <v>1.625</v>
      </c>
    </row>
    <row r="33" spans="1:9" x14ac:dyDescent="0.3">
      <c r="A33">
        <v>32</v>
      </c>
      <c r="B33" s="1" t="s">
        <v>69</v>
      </c>
      <c r="C33" s="1" t="s">
        <v>70</v>
      </c>
      <c r="D33">
        <v>70.400000000000006</v>
      </c>
      <c r="E33">
        <v>87.15</v>
      </c>
      <c r="F33">
        <v>4.0000000000000001E-3</v>
      </c>
      <c r="G33" s="1" t="s">
        <v>11</v>
      </c>
      <c r="H33">
        <v>-0.19220000000000001</v>
      </c>
      <c r="I33">
        <v>0.2379</v>
      </c>
    </row>
    <row r="34" spans="1:9" x14ac:dyDescent="0.3">
      <c r="A34">
        <v>33</v>
      </c>
      <c r="B34" s="1" t="s">
        <v>73</v>
      </c>
      <c r="C34" s="1" t="s">
        <v>74</v>
      </c>
      <c r="D34">
        <v>2.2400000000000002</v>
      </c>
      <c r="E34">
        <v>4.34</v>
      </c>
      <c r="F34">
        <v>-1.14E-2</v>
      </c>
      <c r="G34" s="1" t="s">
        <v>11</v>
      </c>
      <c r="H34">
        <v>-0.48520000000000002</v>
      </c>
      <c r="I34">
        <v>0.9375</v>
      </c>
    </row>
    <row r="35" spans="1:9" x14ac:dyDescent="0.3">
      <c r="A35">
        <v>34</v>
      </c>
      <c r="B35" s="1" t="s">
        <v>9</v>
      </c>
      <c r="C35" s="1" t="s">
        <v>68</v>
      </c>
      <c r="D35">
        <v>294.43</v>
      </c>
      <c r="E35">
        <v>489.75</v>
      </c>
      <c r="F35">
        <v>2.69E-2</v>
      </c>
      <c r="G35" s="1" t="s">
        <v>11</v>
      </c>
      <c r="H35">
        <v>-0.40150000000000002</v>
      </c>
      <c r="I35">
        <v>0.66339999999999999</v>
      </c>
    </row>
    <row r="36" spans="1:9" x14ac:dyDescent="0.3">
      <c r="A36">
        <v>35</v>
      </c>
      <c r="B36" s="1" t="s">
        <v>79</v>
      </c>
      <c r="C36" s="1" t="s">
        <v>80</v>
      </c>
      <c r="D36">
        <v>613.41999999999996</v>
      </c>
      <c r="E36">
        <v>621.71</v>
      </c>
      <c r="F36">
        <v>6.2199999999999998E-2</v>
      </c>
      <c r="G36" s="1" t="s">
        <v>11</v>
      </c>
      <c r="H36">
        <v>-1.8800000000000001E-2</v>
      </c>
      <c r="I36">
        <v>1.35E-2</v>
      </c>
    </row>
    <row r="37" spans="1:9" x14ac:dyDescent="0.3">
      <c r="A37">
        <v>36</v>
      </c>
      <c r="B37" s="1" t="s">
        <v>66</v>
      </c>
      <c r="C37" s="1" t="s">
        <v>67</v>
      </c>
      <c r="D37">
        <v>22.6</v>
      </c>
      <c r="E37">
        <v>31.7</v>
      </c>
      <c r="F37">
        <v>-3.9E-2</v>
      </c>
      <c r="G37" s="1" t="s">
        <v>11</v>
      </c>
      <c r="H37">
        <v>-0.28810000000000002</v>
      </c>
      <c r="I37">
        <v>0.4027</v>
      </c>
    </row>
    <row r="38" spans="1:9" x14ac:dyDescent="0.3">
      <c r="A38">
        <v>37</v>
      </c>
      <c r="B38" s="1" t="s">
        <v>75</v>
      </c>
      <c r="C38" s="1" t="s">
        <v>76</v>
      </c>
      <c r="D38">
        <v>29</v>
      </c>
      <c r="E38">
        <v>39.659999999999997</v>
      </c>
      <c r="F38">
        <v>3.4000000000000002E-2</v>
      </c>
      <c r="G38" s="1" t="s">
        <v>11</v>
      </c>
      <c r="H38">
        <v>-0.26989999999999997</v>
      </c>
      <c r="I38">
        <v>0.36759999999999998</v>
      </c>
    </row>
    <row r="39" spans="1:9" x14ac:dyDescent="0.3">
      <c r="A39">
        <v>38</v>
      </c>
      <c r="B39" s="1" t="s">
        <v>95</v>
      </c>
      <c r="C39" s="1" t="s">
        <v>96</v>
      </c>
      <c r="D39">
        <v>20.309999999999999</v>
      </c>
      <c r="E39">
        <v>20.56</v>
      </c>
      <c r="F39">
        <v>5.8599999999999999E-2</v>
      </c>
      <c r="G39" s="1" t="s">
        <v>11</v>
      </c>
      <c r="H39">
        <v>-1.8800000000000001E-2</v>
      </c>
      <c r="I39">
        <v>1.23E-2</v>
      </c>
    </row>
    <row r="40" spans="1:9" x14ac:dyDescent="0.3">
      <c r="A40">
        <v>39</v>
      </c>
      <c r="B40" s="1" t="s">
        <v>85</v>
      </c>
      <c r="C40" s="1" t="s">
        <v>86</v>
      </c>
      <c r="D40">
        <v>28.78</v>
      </c>
      <c r="E40">
        <v>43.96</v>
      </c>
      <c r="F40">
        <v>3.2500000000000001E-2</v>
      </c>
      <c r="G40" s="1" t="s">
        <v>11</v>
      </c>
      <c r="H40">
        <v>-0.34649999999999997</v>
      </c>
      <c r="I40">
        <v>0.52739999999999998</v>
      </c>
    </row>
    <row r="41" spans="1:9" x14ac:dyDescent="0.3">
      <c r="A41">
        <v>40</v>
      </c>
      <c r="B41" s="1" t="s">
        <v>91</v>
      </c>
      <c r="C41" s="1" t="s">
        <v>92</v>
      </c>
      <c r="D41">
        <v>0.99919999999999998</v>
      </c>
      <c r="E41">
        <v>1.22</v>
      </c>
      <c r="F41">
        <v>-4.1000000000000003E-3</v>
      </c>
      <c r="G41" s="1" t="s">
        <v>11</v>
      </c>
      <c r="H41">
        <v>-0.18029999999999999</v>
      </c>
      <c r="I41">
        <v>0.221</v>
      </c>
    </row>
    <row r="42" spans="1:9" x14ac:dyDescent="0.3">
      <c r="A42">
        <v>41</v>
      </c>
      <c r="B42" s="1" t="s">
        <v>89</v>
      </c>
      <c r="C42" s="1" t="s">
        <v>90</v>
      </c>
      <c r="D42">
        <v>37.17</v>
      </c>
      <c r="E42">
        <v>59.4</v>
      </c>
      <c r="F42">
        <v>5.2200000000000003E-2</v>
      </c>
      <c r="G42" s="1" t="s">
        <v>11</v>
      </c>
      <c r="H42">
        <v>-0.37819999999999998</v>
      </c>
      <c r="I42">
        <v>0.59809999999999997</v>
      </c>
    </row>
    <row r="43" spans="1:9" x14ac:dyDescent="0.3">
      <c r="A43">
        <v>42</v>
      </c>
      <c r="B43" s="1" t="s">
        <v>87</v>
      </c>
      <c r="C43" s="1" t="s">
        <v>88</v>
      </c>
      <c r="D43">
        <v>53.31</v>
      </c>
      <c r="E43">
        <v>63.12</v>
      </c>
      <c r="F43">
        <v>2.1499999999999998E-2</v>
      </c>
      <c r="G43" s="1" t="s">
        <v>11</v>
      </c>
      <c r="H43">
        <v>-0.15740000000000001</v>
      </c>
      <c r="I43">
        <v>0.184</v>
      </c>
    </row>
    <row r="44" spans="1:9" x14ac:dyDescent="0.3">
      <c r="A44">
        <v>43</v>
      </c>
      <c r="B44" s="1" t="s">
        <v>83</v>
      </c>
      <c r="C44" s="1" t="s">
        <v>84</v>
      </c>
      <c r="D44">
        <v>5.48</v>
      </c>
      <c r="E44">
        <v>8.27</v>
      </c>
      <c r="F44">
        <v>4.8999999999999998E-3</v>
      </c>
      <c r="G44" s="1" t="s">
        <v>11</v>
      </c>
      <c r="H44">
        <v>-0.33729999999999999</v>
      </c>
      <c r="I44">
        <v>0.5091</v>
      </c>
    </row>
    <row r="45" spans="1:9" x14ac:dyDescent="0.3">
      <c r="A45">
        <v>44</v>
      </c>
      <c r="B45" s="1" t="s">
        <v>81</v>
      </c>
      <c r="C45" s="1" t="s">
        <v>82</v>
      </c>
      <c r="D45">
        <v>0</v>
      </c>
      <c r="E45">
        <v>0</v>
      </c>
      <c r="F45">
        <v>6.7699999999999996E-2</v>
      </c>
      <c r="G45" s="1" t="s">
        <v>11</v>
      </c>
      <c r="H45">
        <v>-0.29849999999999999</v>
      </c>
      <c r="I45">
        <v>0.42449999999999999</v>
      </c>
    </row>
    <row r="46" spans="1:9" x14ac:dyDescent="0.3">
      <c r="A46">
        <v>45</v>
      </c>
      <c r="B46" s="1" t="s">
        <v>93</v>
      </c>
      <c r="C46" s="1" t="s">
        <v>94</v>
      </c>
      <c r="D46">
        <v>4949.88</v>
      </c>
      <c r="E46">
        <v>6292.31</v>
      </c>
      <c r="F46">
        <v>7.8899999999999998E-2</v>
      </c>
      <c r="G46" s="1" t="s">
        <v>11</v>
      </c>
      <c r="H46">
        <v>-0.21579999999999999</v>
      </c>
      <c r="I46">
        <v>0.2712</v>
      </c>
    </row>
    <row r="47" spans="1:9" x14ac:dyDescent="0.3">
      <c r="A47">
        <v>46</v>
      </c>
      <c r="B47" s="1" t="s">
        <v>99</v>
      </c>
      <c r="C47" s="1" t="s">
        <v>100</v>
      </c>
      <c r="D47">
        <v>2.1399999999999999E-2</v>
      </c>
      <c r="E47">
        <v>3.1600000000000003E-2</v>
      </c>
      <c r="F47">
        <v>-1.3100000000000001E-2</v>
      </c>
      <c r="G47" s="1" t="s">
        <v>11</v>
      </c>
      <c r="H47">
        <v>-0.3231</v>
      </c>
      <c r="I47">
        <v>0.4773</v>
      </c>
    </row>
    <row r="48" spans="1:9" x14ac:dyDescent="0.3">
      <c r="A48">
        <v>47</v>
      </c>
      <c r="B48" s="1" t="s">
        <v>97</v>
      </c>
      <c r="C48" s="1" t="s">
        <v>98</v>
      </c>
      <c r="D48">
        <v>1.36</v>
      </c>
      <c r="E48">
        <v>3.56</v>
      </c>
      <c r="F48">
        <v>-1.46E-2</v>
      </c>
      <c r="G48" s="1" t="s">
        <v>11</v>
      </c>
      <c r="H48">
        <v>-0.61990000000000001</v>
      </c>
      <c r="I48">
        <v>1.6175999999999999</v>
      </c>
    </row>
    <row r="49" spans="1:9" x14ac:dyDescent="0.3">
      <c r="A49">
        <v>48</v>
      </c>
      <c r="B49" s="1" t="s">
        <v>103</v>
      </c>
      <c r="C49" s="1" t="s">
        <v>104</v>
      </c>
      <c r="D49">
        <v>2.1999999999999999E-2</v>
      </c>
      <c r="E49">
        <v>5.8799999999999998E-2</v>
      </c>
      <c r="F49">
        <v>-5.4000000000000003E-3</v>
      </c>
      <c r="G49" s="1" t="s">
        <v>11</v>
      </c>
      <c r="H49">
        <v>-0.62670000000000003</v>
      </c>
      <c r="I49">
        <v>1.6787000000000001</v>
      </c>
    </row>
    <row r="50" spans="1:9" x14ac:dyDescent="0.3">
      <c r="A50">
        <v>49</v>
      </c>
      <c r="B50" s="1" t="s">
        <v>101</v>
      </c>
      <c r="C50" s="1" t="s">
        <v>102</v>
      </c>
      <c r="D50">
        <v>0.15179999999999999</v>
      </c>
      <c r="E50">
        <v>0.27700000000000002</v>
      </c>
      <c r="F50">
        <v>-8.6E-3</v>
      </c>
      <c r="G50" s="1" t="s">
        <v>11</v>
      </c>
      <c r="H50">
        <v>-0.45329999999999998</v>
      </c>
      <c r="I50">
        <v>0.82440000000000002</v>
      </c>
    </row>
    <row r="51" spans="1:9" x14ac:dyDescent="0.3">
      <c r="A51">
        <v>50</v>
      </c>
      <c r="B51" s="1" t="s">
        <v>105</v>
      </c>
      <c r="C51" s="1" t="s">
        <v>106</v>
      </c>
      <c r="D51">
        <v>5.7000000000000002E-3</v>
      </c>
      <c r="E51">
        <v>1.3599999999999999E-2</v>
      </c>
      <c r="F51">
        <v>-1.2500000000000001E-2</v>
      </c>
      <c r="G51" s="1" t="s">
        <v>11</v>
      </c>
      <c r="H51">
        <v>-0.57969999999999999</v>
      </c>
      <c r="I51">
        <v>1.3723000000000001</v>
      </c>
    </row>
    <row r="52" spans="1:9" x14ac:dyDescent="0.3">
      <c r="A52">
        <v>51</v>
      </c>
      <c r="B52" s="1" t="s">
        <v>107</v>
      </c>
      <c r="C52" s="1" t="s">
        <v>108</v>
      </c>
      <c r="D52">
        <v>718.51</v>
      </c>
      <c r="E52">
        <v>910.54</v>
      </c>
      <c r="F52">
        <v>6.1400000000000003E-2</v>
      </c>
      <c r="G52" s="1" t="s">
        <v>11</v>
      </c>
      <c r="H52">
        <v>-0.21249999999999999</v>
      </c>
      <c r="I52">
        <v>0.26729999999999998</v>
      </c>
    </row>
    <row r="53" spans="1:9" x14ac:dyDescent="0.3">
      <c r="A53">
        <v>52</v>
      </c>
      <c r="B53" s="1" t="s">
        <v>115</v>
      </c>
      <c r="C53" s="1" t="s">
        <v>116</v>
      </c>
      <c r="D53">
        <v>21.88</v>
      </c>
      <c r="E53">
        <v>28.53</v>
      </c>
      <c r="F53">
        <v>0.20630000000000001</v>
      </c>
      <c r="G53" s="1" t="s">
        <v>11</v>
      </c>
      <c r="H53">
        <v>-0.23680000000000001</v>
      </c>
      <c r="I53">
        <v>0.3039</v>
      </c>
    </row>
    <row r="54" spans="1:9" x14ac:dyDescent="0.3">
      <c r="A54">
        <v>53</v>
      </c>
      <c r="B54" s="1" t="s">
        <v>119</v>
      </c>
      <c r="C54" s="1" t="s">
        <v>120</v>
      </c>
      <c r="D54">
        <v>19.440000000000001</v>
      </c>
      <c r="E54">
        <v>23.38</v>
      </c>
      <c r="F54">
        <v>0.14299999999999999</v>
      </c>
      <c r="G54" s="1" t="s">
        <v>11</v>
      </c>
      <c r="H54">
        <v>-0.17230000000000001</v>
      </c>
      <c r="I54">
        <v>0.20269999999999999</v>
      </c>
    </row>
    <row r="55" spans="1:9" x14ac:dyDescent="0.3">
      <c r="A55">
        <v>54</v>
      </c>
      <c r="B55" s="1" t="s">
        <v>109</v>
      </c>
      <c r="C55" s="1" t="s">
        <v>110</v>
      </c>
      <c r="D55">
        <v>313.12</v>
      </c>
      <c r="E55">
        <v>1493.59</v>
      </c>
      <c r="F55">
        <v>-3.1099999999999999E-2</v>
      </c>
      <c r="G55" s="1" t="s">
        <v>11</v>
      </c>
      <c r="H55">
        <v>-0.79069999999999996</v>
      </c>
      <c r="I55">
        <v>3.77</v>
      </c>
    </row>
    <row r="56" spans="1:9" x14ac:dyDescent="0.3">
      <c r="A56">
        <v>55</v>
      </c>
      <c r="B56" s="1" t="s">
        <v>117</v>
      </c>
      <c r="C56" s="1" t="s">
        <v>118</v>
      </c>
      <c r="D56">
        <v>3.18</v>
      </c>
      <c r="E56">
        <v>3.95</v>
      </c>
      <c r="F56">
        <v>-0.1782</v>
      </c>
      <c r="G56" s="1" t="s">
        <v>11</v>
      </c>
      <c r="H56">
        <v>-0.1946</v>
      </c>
      <c r="I56">
        <v>0.24210000000000001</v>
      </c>
    </row>
    <row r="57" spans="1:9" x14ac:dyDescent="0.3">
      <c r="A57">
        <v>56</v>
      </c>
      <c r="B57" s="1" t="s">
        <v>111</v>
      </c>
      <c r="C57" s="1" t="s">
        <v>112</v>
      </c>
      <c r="D57">
        <v>28.78</v>
      </c>
      <c r="E57">
        <v>43.01</v>
      </c>
      <c r="F57">
        <v>-5.4999999999999997E-3</v>
      </c>
      <c r="G57" s="1" t="s">
        <v>11</v>
      </c>
      <c r="H57">
        <v>-0.33279999999999998</v>
      </c>
      <c r="I57">
        <v>0.49440000000000001</v>
      </c>
    </row>
    <row r="58" spans="1:9" x14ac:dyDescent="0.3">
      <c r="A58">
        <v>57</v>
      </c>
      <c r="B58" s="1" t="s">
        <v>113</v>
      </c>
      <c r="C58" s="1" t="s">
        <v>114</v>
      </c>
      <c r="D58">
        <v>253.14</v>
      </c>
      <c r="E58">
        <v>3191.93</v>
      </c>
      <c r="F58">
        <v>4.7000000000000002E-3</v>
      </c>
      <c r="G58" s="1" t="s">
        <v>11</v>
      </c>
      <c r="H58">
        <v>-0.92079999999999995</v>
      </c>
      <c r="I58">
        <v>11.609299999999999</v>
      </c>
    </row>
    <row r="59" spans="1:9" x14ac:dyDescent="0.3">
      <c r="A59">
        <v>58</v>
      </c>
      <c r="B59" s="1" t="s">
        <v>125</v>
      </c>
      <c r="C59" s="1" t="s">
        <v>126</v>
      </c>
      <c r="D59">
        <v>7.17</v>
      </c>
      <c r="E59">
        <v>7.96</v>
      </c>
      <c r="F59">
        <v>1.7000000000000001E-2</v>
      </c>
      <c r="G59" s="1" t="s">
        <v>11</v>
      </c>
      <c r="H59">
        <v>-9.9900000000000003E-2</v>
      </c>
      <c r="I59">
        <v>0.11020000000000001</v>
      </c>
    </row>
    <row r="60" spans="1:9" x14ac:dyDescent="0.3">
      <c r="A60">
        <v>59</v>
      </c>
      <c r="B60" s="1" t="s">
        <v>129</v>
      </c>
      <c r="C60" s="1" t="s">
        <v>130</v>
      </c>
      <c r="D60">
        <v>73805</v>
      </c>
      <c r="E60">
        <v>90787</v>
      </c>
      <c r="F60">
        <v>0.1009</v>
      </c>
      <c r="G60" s="1" t="s">
        <v>11</v>
      </c>
      <c r="H60">
        <v>-0.19239999999999999</v>
      </c>
      <c r="I60">
        <v>0.2301</v>
      </c>
    </row>
    <row r="61" spans="1:9" x14ac:dyDescent="0.3">
      <c r="A61">
        <v>60</v>
      </c>
      <c r="B61" s="1" t="s">
        <v>123</v>
      </c>
      <c r="C61" s="1" t="s">
        <v>124</v>
      </c>
      <c r="D61">
        <v>0.29380000000000001</v>
      </c>
      <c r="E61">
        <v>1.87</v>
      </c>
      <c r="F61">
        <v>1.9099999999999999E-2</v>
      </c>
      <c r="G61" s="1" t="s">
        <v>11</v>
      </c>
      <c r="H61">
        <v>-0.84340000000000004</v>
      </c>
      <c r="I61">
        <v>5.3654999999999999</v>
      </c>
    </row>
    <row r="62" spans="1:9" x14ac:dyDescent="0.3">
      <c r="A62">
        <v>61</v>
      </c>
      <c r="B62" s="1" t="s">
        <v>121</v>
      </c>
      <c r="C62" s="1" t="s">
        <v>122</v>
      </c>
      <c r="D62">
        <v>148.19999999999999</v>
      </c>
      <c r="E62">
        <v>243.92</v>
      </c>
      <c r="F62">
        <v>-1.46E-2</v>
      </c>
      <c r="G62" s="1" t="s">
        <v>11</v>
      </c>
      <c r="H62">
        <v>-0.39319999999999999</v>
      </c>
      <c r="I62">
        <v>0.64590000000000003</v>
      </c>
    </row>
    <row r="63" spans="1:9" x14ac:dyDescent="0.3">
      <c r="A63">
        <v>62</v>
      </c>
      <c r="B63" s="1" t="s">
        <v>131</v>
      </c>
      <c r="C63" s="1" t="s">
        <v>132</v>
      </c>
      <c r="D63">
        <v>0.30959999999999999</v>
      </c>
      <c r="E63">
        <v>0.44840000000000002</v>
      </c>
      <c r="F63">
        <v>1.6999999999999999E-3</v>
      </c>
      <c r="G63" s="1" t="s">
        <v>11</v>
      </c>
      <c r="H63">
        <v>-0.31219999999999998</v>
      </c>
      <c r="I63">
        <v>0.44819999999999999</v>
      </c>
    </row>
    <row r="64" spans="1:9" x14ac:dyDescent="0.3">
      <c r="A64">
        <v>63</v>
      </c>
      <c r="B64" s="1" t="s">
        <v>141</v>
      </c>
      <c r="C64" s="1" t="s">
        <v>142</v>
      </c>
      <c r="D64">
        <v>4.3299999999999998E-2</v>
      </c>
      <c r="E64">
        <v>6.4500000000000002E-2</v>
      </c>
      <c r="F64">
        <v>0.1016</v>
      </c>
      <c r="G64" s="1" t="s">
        <v>11</v>
      </c>
      <c r="H64">
        <v>-0.3301</v>
      </c>
      <c r="I64">
        <v>0.48980000000000001</v>
      </c>
    </row>
    <row r="65" spans="1:9" x14ac:dyDescent="0.3">
      <c r="A65">
        <v>64</v>
      </c>
      <c r="B65" s="1" t="s">
        <v>127</v>
      </c>
      <c r="C65" s="1" t="s">
        <v>128</v>
      </c>
      <c r="D65">
        <v>0.44109999999999999</v>
      </c>
      <c r="E65">
        <v>0.87860000000000005</v>
      </c>
      <c r="F65">
        <v>3.4500000000000003E-2</v>
      </c>
      <c r="G65" s="1" t="s">
        <v>11</v>
      </c>
      <c r="H65">
        <v>-0.49859999999999999</v>
      </c>
      <c r="I65">
        <v>0.99180000000000001</v>
      </c>
    </row>
    <row r="66" spans="1:9" x14ac:dyDescent="0.3">
      <c r="A66">
        <v>65</v>
      </c>
      <c r="B66" s="1" t="s">
        <v>133</v>
      </c>
      <c r="C66" s="1" t="s">
        <v>134</v>
      </c>
      <c r="D66">
        <v>6.13</v>
      </c>
      <c r="E66">
        <v>7.56</v>
      </c>
      <c r="F66">
        <v>4.9700000000000001E-2</v>
      </c>
      <c r="G66" s="1" t="s">
        <v>11</v>
      </c>
      <c r="H66">
        <v>-0.18440000000000001</v>
      </c>
      <c r="I66">
        <v>0.23330000000000001</v>
      </c>
    </row>
    <row r="67" spans="1:9" x14ac:dyDescent="0.3">
      <c r="A67">
        <v>66</v>
      </c>
      <c r="B67" s="1" t="s">
        <v>135</v>
      </c>
      <c r="C67" s="1" t="s">
        <v>136</v>
      </c>
      <c r="D67">
        <v>177.85</v>
      </c>
      <c r="E67">
        <v>247.35</v>
      </c>
      <c r="F67">
        <v>5.5999999999999999E-3</v>
      </c>
      <c r="G67" s="1" t="s">
        <v>11</v>
      </c>
      <c r="H67">
        <v>-0.28220000000000001</v>
      </c>
      <c r="I67">
        <v>0.39079999999999998</v>
      </c>
    </row>
    <row r="68" spans="1:9" x14ac:dyDescent="0.3">
      <c r="A68">
        <v>67</v>
      </c>
      <c r="B68" s="1" t="s">
        <v>137</v>
      </c>
      <c r="C68" s="1" t="s">
        <v>138</v>
      </c>
      <c r="D68">
        <v>6.08E-2</v>
      </c>
      <c r="E68">
        <v>7.7399999999999997E-2</v>
      </c>
      <c r="F68">
        <v>3.8800000000000001E-2</v>
      </c>
      <c r="G68" s="1" t="s">
        <v>11</v>
      </c>
      <c r="H68">
        <v>-0.2165</v>
      </c>
      <c r="I68">
        <v>0.27329999999999999</v>
      </c>
    </row>
    <row r="69" spans="1:9" x14ac:dyDescent="0.3">
      <c r="A69">
        <v>68</v>
      </c>
      <c r="B69" s="1" t="s">
        <v>139</v>
      </c>
      <c r="C69" s="1" t="s">
        <v>140</v>
      </c>
      <c r="D69">
        <v>0.18179999999999999</v>
      </c>
      <c r="E69">
        <v>0.25540000000000002</v>
      </c>
      <c r="F69">
        <v>2.0500000000000001E-2</v>
      </c>
      <c r="G69" s="1" t="s">
        <v>11</v>
      </c>
      <c r="H69">
        <v>-0.29210000000000003</v>
      </c>
      <c r="I69">
        <v>0.40479999999999999</v>
      </c>
    </row>
    <row r="70" spans="1:9" x14ac:dyDescent="0.3">
      <c r="A70">
        <v>69</v>
      </c>
      <c r="B70" s="1" t="s">
        <v>147</v>
      </c>
      <c r="C70" s="1" t="s">
        <v>148</v>
      </c>
      <c r="D70">
        <v>1</v>
      </c>
      <c r="E70">
        <v>1.0900000000000001</v>
      </c>
      <c r="F70">
        <v>-2.0000000000000001E-4</v>
      </c>
      <c r="G70" s="1" t="s">
        <v>11</v>
      </c>
      <c r="H70">
        <v>-8.4199999999999997E-2</v>
      </c>
      <c r="I70">
        <v>0.09</v>
      </c>
    </row>
    <row r="71" spans="1:9" x14ac:dyDescent="0.3">
      <c r="A71">
        <v>70</v>
      </c>
      <c r="B71" s="1" t="s">
        <v>151</v>
      </c>
      <c r="C71" s="1" t="s">
        <v>152</v>
      </c>
      <c r="D71">
        <v>1.14E-2</v>
      </c>
      <c r="E71">
        <v>3.1300000000000001E-2</v>
      </c>
      <c r="F71">
        <v>-3.73E-2</v>
      </c>
      <c r="G71" s="1" t="s">
        <v>11</v>
      </c>
      <c r="H71">
        <v>-0.63770000000000004</v>
      </c>
      <c r="I71">
        <v>1.7513000000000001</v>
      </c>
    </row>
    <row r="72" spans="1:9" x14ac:dyDescent="0.3">
      <c r="A72">
        <v>71</v>
      </c>
      <c r="B72" s="1" t="s">
        <v>143</v>
      </c>
      <c r="C72" s="1" t="s">
        <v>144</v>
      </c>
      <c r="D72">
        <v>18.12</v>
      </c>
      <c r="E72">
        <v>100.22</v>
      </c>
      <c r="F72">
        <v>7.7000000000000002E-3</v>
      </c>
      <c r="G72" s="1" t="s">
        <v>11</v>
      </c>
      <c r="H72">
        <v>-0.82010000000000005</v>
      </c>
      <c r="I72">
        <v>4.5308999999999999</v>
      </c>
    </row>
    <row r="73" spans="1:9" x14ac:dyDescent="0.3">
      <c r="A73">
        <v>72</v>
      </c>
      <c r="B73" s="1" t="s">
        <v>153</v>
      </c>
      <c r="C73" s="1" t="s">
        <v>154</v>
      </c>
      <c r="D73">
        <v>2</v>
      </c>
      <c r="E73">
        <v>3.94</v>
      </c>
      <c r="F73">
        <v>6.0699999999999997E-2</v>
      </c>
      <c r="G73" s="1" t="s">
        <v>11</v>
      </c>
      <c r="H73">
        <v>-0.4945</v>
      </c>
      <c r="I73">
        <v>0.97</v>
      </c>
    </row>
    <row r="74" spans="1:9" x14ac:dyDescent="0.3">
      <c r="A74">
        <v>73</v>
      </c>
      <c r="B74" s="1" t="s">
        <v>149</v>
      </c>
      <c r="C74" s="1" t="s">
        <v>150</v>
      </c>
      <c r="D74">
        <v>3.27</v>
      </c>
      <c r="E74">
        <v>4.07</v>
      </c>
      <c r="F74">
        <v>-2.5999999999999999E-2</v>
      </c>
      <c r="G74" s="1" t="s">
        <v>11</v>
      </c>
      <c r="H74">
        <v>-0.19719999999999999</v>
      </c>
      <c r="I74">
        <v>0.24460000000000001</v>
      </c>
    </row>
    <row r="75" spans="1:9" x14ac:dyDescent="0.3">
      <c r="A75">
        <v>74</v>
      </c>
      <c r="B75" s="1" t="s">
        <v>155</v>
      </c>
      <c r="C75" s="1" t="s">
        <v>156</v>
      </c>
      <c r="D75">
        <v>1.1200000000000001</v>
      </c>
      <c r="E75">
        <v>1.63</v>
      </c>
      <c r="F75">
        <v>1.04E-2</v>
      </c>
      <c r="G75" s="1" t="s">
        <v>11</v>
      </c>
      <c r="H75">
        <v>-0.31490000000000001</v>
      </c>
      <c r="I75">
        <v>0.45540000000000003</v>
      </c>
    </row>
    <row r="76" spans="1:9" x14ac:dyDescent="0.3">
      <c r="A76">
        <v>75</v>
      </c>
      <c r="B76" s="1" t="s">
        <v>164</v>
      </c>
      <c r="C76" s="1" t="s">
        <v>165</v>
      </c>
      <c r="D76">
        <v>0.62860000000000005</v>
      </c>
      <c r="E76">
        <v>0.94820000000000004</v>
      </c>
      <c r="F76">
        <v>2.5100000000000001E-2</v>
      </c>
      <c r="G76" s="1" t="s">
        <v>11</v>
      </c>
      <c r="H76">
        <v>-0.3382</v>
      </c>
      <c r="I76">
        <v>0.50849999999999995</v>
      </c>
    </row>
    <row r="77" spans="1:9" x14ac:dyDescent="0.3">
      <c r="A77">
        <v>76</v>
      </c>
      <c r="B77" s="1" t="s">
        <v>166</v>
      </c>
      <c r="C77" s="1" t="s">
        <v>167</v>
      </c>
      <c r="D77">
        <v>1.21</v>
      </c>
      <c r="E77">
        <v>1.6</v>
      </c>
      <c r="F77">
        <v>7.2599999999999998E-2</v>
      </c>
      <c r="G77" s="1" t="s">
        <v>11</v>
      </c>
      <c r="H77">
        <v>-0.25</v>
      </c>
      <c r="I77">
        <v>0.32229999999999998</v>
      </c>
    </row>
    <row r="78" spans="1:9" x14ac:dyDescent="0.3">
      <c r="A78">
        <v>77</v>
      </c>
      <c r="B78" s="1" t="s">
        <v>9</v>
      </c>
      <c r="C78" s="1" t="s">
        <v>161</v>
      </c>
      <c r="D78">
        <v>89.96</v>
      </c>
      <c r="E78">
        <v>456.25</v>
      </c>
      <c r="F78">
        <v>1.21E-2</v>
      </c>
      <c r="G78" s="1" t="s">
        <v>11</v>
      </c>
      <c r="H78">
        <v>-0.80369999999999997</v>
      </c>
      <c r="I78">
        <v>4.0716999999999999</v>
      </c>
    </row>
    <row r="79" spans="1:9" x14ac:dyDescent="0.3">
      <c r="A79">
        <v>78</v>
      </c>
      <c r="B79" s="1" t="s">
        <v>159</v>
      </c>
      <c r="C79" s="1" t="s">
        <v>160</v>
      </c>
      <c r="D79">
        <v>1.91</v>
      </c>
      <c r="E79">
        <v>10.92</v>
      </c>
      <c r="F79">
        <v>1.6400000000000001E-2</v>
      </c>
      <c r="G79" s="1" t="s">
        <v>11</v>
      </c>
      <c r="H79">
        <v>-0.82579999999999998</v>
      </c>
      <c r="I79">
        <v>4.7172999999999998</v>
      </c>
    </row>
    <row r="80" spans="1:9" x14ac:dyDescent="0.3">
      <c r="A80">
        <v>79</v>
      </c>
      <c r="B80" s="1" t="s">
        <v>75</v>
      </c>
      <c r="C80" s="1" t="s">
        <v>174</v>
      </c>
      <c r="D80">
        <v>47304</v>
      </c>
      <c r="E80">
        <v>69325</v>
      </c>
      <c r="F80">
        <v>5.4699999999999999E-2</v>
      </c>
      <c r="G80" s="1" t="s">
        <v>11</v>
      </c>
      <c r="H80">
        <v>-0.31769999999999998</v>
      </c>
      <c r="I80">
        <v>0.46550000000000002</v>
      </c>
    </row>
    <row r="81" spans="1:9" x14ac:dyDescent="0.3">
      <c r="A81">
        <v>80</v>
      </c>
      <c r="B81" s="1" t="s">
        <v>157</v>
      </c>
      <c r="C81" s="1" t="s">
        <v>158</v>
      </c>
      <c r="D81">
        <v>1.24</v>
      </c>
      <c r="E81">
        <v>2.84</v>
      </c>
      <c r="F81">
        <v>-3.1E-2</v>
      </c>
      <c r="G81" s="1" t="s">
        <v>11</v>
      </c>
      <c r="H81">
        <v>-0.56659999999999999</v>
      </c>
      <c r="I81">
        <v>1.2903</v>
      </c>
    </row>
    <row r="82" spans="1:9" x14ac:dyDescent="0.3">
      <c r="A82">
        <v>81</v>
      </c>
      <c r="B82" s="1" t="s">
        <v>162</v>
      </c>
      <c r="C82" s="1" t="s">
        <v>163</v>
      </c>
      <c r="D82">
        <v>1.44</v>
      </c>
      <c r="E82">
        <v>2.92</v>
      </c>
      <c r="F82">
        <v>9.7999999999999997E-3</v>
      </c>
      <c r="G82" s="1" t="s">
        <v>11</v>
      </c>
      <c r="H82">
        <v>-0.50900000000000001</v>
      </c>
      <c r="I82">
        <v>1.0278</v>
      </c>
    </row>
    <row r="83" spans="1:9" x14ac:dyDescent="0.3">
      <c r="A83">
        <v>82</v>
      </c>
      <c r="B83" s="1" t="s">
        <v>192</v>
      </c>
      <c r="C83" s="1" t="s">
        <v>193</v>
      </c>
      <c r="D83">
        <v>0.15920000000000001</v>
      </c>
      <c r="E83">
        <v>0.22209999999999999</v>
      </c>
      <c r="F83">
        <v>5.6399999999999999E-2</v>
      </c>
      <c r="G83" s="1" t="s">
        <v>11</v>
      </c>
      <c r="H83">
        <v>-0.28839999999999999</v>
      </c>
      <c r="I83">
        <v>0.39510000000000001</v>
      </c>
    </row>
    <row r="84" spans="1:9" x14ac:dyDescent="0.3">
      <c r="A84">
        <v>83</v>
      </c>
      <c r="B84" s="1" t="s">
        <v>168</v>
      </c>
      <c r="C84" s="1" t="s">
        <v>169</v>
      </c>
      <c r="D84">
        <v>0.1045</v>
      </c>
      <c r="E84">
        <v>0.17810000000000001</v>
      </c>
      <c r="F84">
        <v>-4.0300000000000002E-2</v>
      </c>
      <c r="G84" s="1" t="s">
        <v>11</v>
      </c>
      <c r="H84">
        <v>-0.41539999999999999</v>
      </c>
      <c r="I84">
        <v>0.70389999999999997</v>
      </c>
    </row>
    <row r="85" spans="1:9" x14ac:dyDescent="0.3">
      <c r="A85">
        <v>84</v>
      </c>
      <c r="B85" s="1" t="s">
        <v>177</v>
      </c>
      <c r="C85" s="1" t="s">
        <v>178</v>
      </c>
      <c r="D85">
        <v>10.93</v>
      </c>
      <c r="E85">
        <v>33.69</v>
      </c>
      <c r="F85">
        <v>4.6399999999999997E-2</v>
      </c>
      <c r="G85" s="1" t="s">
        <v>11</v>
      </c>
      <c r="H85">
        <v>-0.6764</v>
      </c>
      <c r="I85">
        <v>2.0823</v>
      </c>
    </row>
    <row r="86" spans="1:9" x14ac:dyDescent="0.3">
      <c r="A86">
        <v>85</v>
      </c>
      <c r="B86" s="1" t="s">
        <v>172</v>
      </c>
      <c r="C86" s="1" t="s">
        <v>173</v>
      </c>
      <c r="D86">
        <v>0.99080000000000001</v>
      </c>
      <c r="E86">
        <v>1.1599999999999999</v>
      </c>
      <c r="F86">
        <v>8.9999999999999998E-4</v>
      </c>
      <c r="G86" s="1" t="s">
        <v>11</v>
      </c>
      <c r="H86">
        <v>-0.1447</v>
      </c>
      <c r="I86">
        <v>0.17069999999999999</v>
      </c>
    </row>
    <row r="87" spans="1:9" x14ac:dyDescent="0.3">
      <c r="A87">
        <v>86</v>
      </c>
      <c r="B87" s="1" t="s">
        <v>170</v>
      </c>
      <c r="C87" s="1" t="s">
        <v>171</v>
      </c>
      <c r="D87">
        <v>23.66</v>
      </c>
      <c r="E87">
        <v>41.56</v>
      </c>
      <c r="F87">
        <v>1.9E-2</v>
      </c>
      <c r="G87" s="1" t="s">
        <v>11</v>
      </c>
      <c r="H87">
        <v>-0.43149999999999999</v>
      </c>
      <c r="I87">
        <v>0.75660000000000005</v>
      </c>
    </row>
    <row r="88" spans="1:9" x14ac:dyDescent="0.3">
      <c r="A88">
        <v>87</v>
      </c>
      <c r="B88" s="1" t="s">
        <v>181</v>
      </c>
      <c r="C88" s="1" t="s">
        <v>182</v>
      </c>
      <c r="D88">
        <v>2.86E-2</v>
      </c>
      <c r="E88">
        <v>9.2899999999999996E-2</v>
      </c>
      <c r="F88">
        <v>3.5799999999999998E-2</v>
      </c>
      <c r="G88" s="1" t="s">
        <v>11</v>
      </c>
      <c r="H88">
        <v>-0.69279999999999997</v>
      </c>
      <c r="I88">
        <v>2.2429999999999999</v>
      </c>
    </row>
    <row r="89" spans="1:9" x14ac:dyDescent="0.3">
      <c r="A89">
        <v>88</v>
      </c>
      <c r="B89" s="1" t="s">
        <v>968</v>
      </c>
      <c r="C89" s="1" t="s">
        <v>969</v>
      </c>
      <c r="D89">
        <v>21.95</v>
      </c>
      <c r="E89">
        <v>26.33</v>
      </c>
      <c r="F89">
        <v>0.1353</v>
      </c>
      <c r="G89" s="1" t="s">
        <v>11</v>
      </c>
      <c r="H89">
        <v>-0.1663</v>
      </c>
      <c r="I89">
        <v>0.19950000000000001</v>
      </c>
    </row>
    <row r="90" spans="1:9" x14ac:dyDescent="0.3">
      <c r="A90">
        <v>89</v>
      </c>
      <c r="B90" s="1" t="s">
        <v>187</v>
      </c>
      <c r="C90" s="1" t="s">
        <v>188</v>
      </c>
      <c r="D90">
        <v>1.6</v>
      </c>
      <c r="E90">
        <v>2.5</v>
      </c>
      <c r="F90">
        <v>4.2200000000000001E-2</v>
      </c>
      <c r="G90" s="1" t="s">
        <v>11</v>
      </c>
      <c r="H90">
        <v>-0.36220000000000002</v>
      </c>
      <c r="I90">
        <v>0.5625</v>
      </c>
    </row>
    <row r="91" spans="1:9" x14ac:dyDescent="0.3">
      <c r="A91">
        <v>90</v>
      </c>
      <c r="B91" s="1" t="s">
        <v>175</v>
      </c>
      <c r="C91" s="1" t="s">
        <v>176</v>
      </c>
      <c r="D91">
        <v>120.35</v>
      </c>
      <c r="E91">
        <v>165.92</v>
      </c>
      <c r="F91">
        <v>-1.4999999999999999E-2</v>
      </c>
      <c r="G91" s="1" t="s">
        <v>11</v>
      </c>
      <c r="H91">
        <v>-0.27689999999999998</v>
      </c>
      <c r="I91">
        <v>0.37859999999999999</v>
      </c>
    </row>
    <row r="92" spans="1:9" x14ac:dyDescent="0.3">
      <c r="A92">
        <v>91</v>
      </c>
      <c r="B92" s="1" t="s">
        <v>183</v>
      </c>
      <c r="C92" s="1" t="s">
        <v>184</v>
      </c>
      <c r="D92">
        <v>6.7</v>
      </c>
      <c r="E92">
        <v>10.72</v>
      </c>
      <c r="F92">
        <v>1.7999999999999999E-2</v>
      </c>
      <c r="G92" s="1" t="s">
        <v>11</v>
      </c>
      <c r="H92">
        <v>-0.3755</v>
      </c>
      <c r="I92">
        <v>0.6</v>
      </c>
    </row>
    <row r="93" spans="1:9" x14ac:dyDescent="0.3">
      <c r="A93">
        <v>92</v>
      </c>
      <c r="B93" s="1" t="s">
        <v>196</v>
      </c>
      <c r="C93" s="1" t="s">
        <v>197</v>
      </c>
      <c r="D93">
        <v>3.44</v>
      </c>
      <c r="E93">
        <v>54.01</v>
      </c>
      <c r="F93">
        <v>0.10059999999999999</v>
      </c>
      <c r="G93" s="1" t="s">
        <v>11</v>
      </c>
      <c r="H93">
        <v>-0.93669999999999998</v>
      </c>
      <c r="I93">
        <v>14.7006</v>
      </c>
    </row>
    <row r="94" spans="1:9" x14ac:dyDescent="0.3">
      <c r="A94">
        <v>93</v>
      </c>
      <c r="B94" s="1" t="s">
        <v>179</v>
      </c>
      <c r="C94" s="1" t="s">
        <v>180</v>
      </c>
      <c r="D94">
        <v>7.67</v>
      </c>
      <c r="E94">
        <v>12.94</v>
      </c>
      <c r="F94">
        <v>-6.7999999999999996E-3</v>
      </c>
      <c r="G94" s="1" t="s">
        <v>11</v>
      </c>
      <c r="H94">
        <v>-0.41099999999999998</v>
      </c>
      <c r="I94">
        <v>0.68710000000000004</v>
      </c>
    </row>
    <row r="95" spans="1:9" x14ac:dyDescent="0.3">
      <c r="A95">
        <v>94</v>
      </c>
      <c r="B95" s="1" t="s">
        <v>185</v>
      </c>
      <c r="C95" s="1" t="s">
        <v>186</v>
      </c>
      <c r="D95">
        <v>9.02</v>
      </c>
      <c r="E95">
        <v>25.62</v>
      </c>
      <c r="F95">
        <v>2.1299999999999999E-2</v>
      </c>
      <c r="G95" s="1" t="s">
        <v>11</v>
      </c>
      <c r="H95">
        <v>-0.64949999999999997</v>
      </c>
      <c r="I95">
        <v>1.8404</v>
      </c>
    </row>
    <row r="96" spans="1:9" x14ac:dyDescent="0.3">
      <c r="A96">
        <v>95</v>
      </c>
      <c r="B96" s="1" t="s">
        <v>200</v>
      </c>
      <c r="C96" s="1" t="s">
        <v>201</v>
      </c>
      <c r="D96">
        <v>1</v>
      </c>
      <c r="E96">
        <v>1.1299999999999999</v>
      </c>
      <c r="F96">
        <v>6.9999999999999999E-4</v>
      </c>
      <c r="G96" s="1" t="s">
        <v>11</v>
      </c>
      <c r="H96">
        <v>-0.1123</v>
      </c>
      <c r="I96">
        <v>0.13</v>
      </c>
    </row>
    <row r="97" spans="1:9" x14ac:dyDescent="0.3">
      <c r="A97">
        <v>96</v>
      </c>
      <c r="B97" s="1" t="s">
        <v>194</v>
      </c>
      <c r="C97" s="1" t="s">
        <v>195</v>
      </c>
      <c r="D97">
        <v>1.99</v>
      </c>
      <c r="E97">
        <v>13.16</v>
      </c>
      <c r="F97">
        <v>2.47E-2</v>
      </c>
      <c r="G97" s="1" t="s">
        <v>11</v>
      </c>
      <c r="H97">
        <v>-0.84989999999999999</v>
      </c>
      <c r="I97">
        <v>5.6131000000000002</v>
      </c>
    </row>
    <row r="98" spans="1:9" x14ac:dyDescent="0.3">
      <c r="A98">
        <v>97</v>
      </c>
      <c r="B98" s="1" t="s">
        <v>198</v>
      </c>
      <c r="C98" s="1" t="s">
        <v>199</v>
      </c>
      <c r="D98">
        <v>14.96</v>
      </c>
      <c r="E98">
        <v>20.86</v>
      </c>
      <c r="F98">
        <v>7.51E-2</v>
      </c>
      <c r="G98" s="1" t="s">
        <v>11</v>
      </c>
      <c r="H98">
        <v>-0.28260000000000002</v>
      </c>
      <c r="I98">
        <v>0.39439999999999997</v>
      </c>
    </row>
    <row r="99" spans="1:9" x14ac:dyDescent="0.3">
      <c r="A99">
        <v>98</v>
      </c>
      <c r="B99" s="1" t="s">
        <v>145</v>
      </c>
      <c r="C99" s="1" t="s">
        <v>146</v>
      </c>
      <c r="D99">
        <v>6.83</v>
      </c>
      <c r="E99">
        <v>16.760000000000002</v>
      </c>
      <c r="F99">
        <v>8.3000000000000001E-3</v>
      </c>
      <c r="G99" s="1" t="s">
        <v>11</v>
      </c>
      <c r="H99">
        <v>-0.59340000000000004</v>
      </c>
      <c r="I99">
        <v>1.4539</v>
      </c>
    </row>
    <row r="100" spans="1:9" x14ac:dyDescent="0.3">
      <c r="A100">
        <v>99</v>
      </c>
      <c r="B100" s="1" t="s">
        <v>190</v>
      </c>
      <c r="C100" s="1" t="s">
        <v>191</v>
      </c>
      <c r="D100">
        <v>3502.93</v>
      </c>
      <c r="E100">
        <v>4309.29</v>
      </c>
      <c r="F100">
        <v>2.3E-3</v>
      </c>
      <c r="G100" s="1" t="s">
        <v>11</v>
      </c>
      <c r="H100">
        <v>-0.18709999999999999</v>
      </c>
      <c r="I100">
        <v>0.23019999999999999</v>
      </c>
    </row>
    <row r="101" spans="1:9" x14ac:dyDescent="0.3">
      <c r="A101">
        <v>100</v>
      </c>
      <c r="B101" s="1" t="s">
        <v>965</v>
      </c>
      <c r="C101" s="1" t="s">
        <v>954</v>
      </c>
      <c r="D101">
        <v>1</v>
      </c>
      <c r="E101">
        <v>1.62</v>
      </c>
      <c r="F101">
        <v>-4.1000000000000003E-3</v>
      </c>
      <c r="G101" s="1" t="s">
        <v>11</v>
      </c>
      <c r="H101">
        <v>-0.38169999999999998</v>
      </c>
      <c r="I101">
        <v>0.62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D35338B-DC82-4192-90F1-95916C0BDF3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Passbook</vt:lpstr>
      <vt:lpstr>CoinMarketCap</vt:lpstr>
      <vt:lpstr>Currency</vt:lpstr>
      <vt:lpstr>CoinGecko</vt:lpstr>
      <vt:lpstr>ATHCoinIndex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Krutarth</dc:creator>
  <cp:lastModifiedBy>Krutarth</cp:lastModifiedBy>
  <dcterms:created xsi:type="dcterms:W3CDTF">2015-06-05T18:17:20Z</dcterms:created>
  <dcterms:modified xsi:type="dcterms:W3CDTF">2021-05-18T08:31:56Z</dcterms:modified>
</cp:coreProperties>
</file>